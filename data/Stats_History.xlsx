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emplate" sheetId="7" r:id="rId1"/>
    <sheet name="Game-6（20260614）" sheetId="11" r:id="rId2"/>
    <sheet name="Game-5（20260614）" sheetId="8" r:id="rId3"/>
    <sheet name="Game-4（20260531）" sheetId="16" r:id="rId4"/>
    <sheet name="Game-3（20260531）" sheetId="15" r:id="rId5"/>
    <sheet name="Game-2（20260517）" sheetId="14" r:id="rId6"/>
    <sheet name="Game-1（20260517）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<sst xmlns="http://schemas.openxmlformats.org/spreadsheetml/2006/main" count="228" uniqueCount="49">
  <si>
    <t>Matchid</t>
  </si>
  <si>
    <t>gx</t>
  </si>
  <si>
    <t>转换json</t>
  </si>
  <si>
    <t>Player No.</t>
  </si>
  <si>
    <t>PlayerName</t>
  </si>
  <si>
    <t>2p
score
times</t>
  </si>
  <si>
    <t>2p
shoot
times</t>
  </si>
  <si>
    <t>3p
score
times</t>
  </si>
  <si>
    <t>3p
shoot
times</t>
  </si>
  <si>
    <t>total
score
times</t>
  </si>
  <si>
    <t>total
shoot
times</t>
  </si>
  <si>
    <t>total
score
points</t>
  </si>
  <si>
    <t>offense
rebounds</t>
  </si>
  <si>
    <t>denfense
rebounds</t>
  </si>
  <si>
    <t>total
rebounds</t>
  </si>
  <si>
    <t>Assist</t>
  </si>
  <si>
    <t>Steal</t>
  </si>
  <si>
    <t>Turnover</t>
  </si>
  <si>
    <t>Block</t>
  </si>
  <si>
    <t>Team Total</t>
  </si>
  <si>
    <t>g6</t>
  </si>
  <si>
    <t>Chai</t>
  </si>
  <si>
    <t>G</t>
  </si>
  <si>
    <t>Harada</t>
  </si>
  <si>
    <t>Hashimoto</t>
  </si>
  <si>
    <t>Liao</t>
  </si>
  <si>
    <t>Seki</t>
  </si>
  <si>
    <t>Zuan</t>
  </si>
  <si>
    <t>Aoki</t>
  </si>
  <si>
    <t>Daisuke</t>
  </si>
  <si>
    <t>Feng</t>
  </si>
  <si>
    <t>Mibashi</t>
  </si>
  <si>
    <t>Someya</t>
  </si>
  <si>
    <t>g5</t>
  </si>
  <si>
    <t xml:space="preserve">         </t>
  </si>
  <si>
    <t>g4</t>
  </si>
  <si>
    <t>No.30</t>
  </si>
  <si>
    <t>Boss</t>
  </si>
  <si>
    <t>No.49</t>
  </si>
  <si>
    <t>RedPants</t>
  </si>
  <si>
    <t>No.0</t>
  </si>
  <si>
    <t>FunwariHair</t>
  </si>
  <si>
    <t>Takumi</t>
  </si>
  <si>
    <t>g3</t>
  </si>
  <si>
    <t>g2</t>
  </si>
  <si>
    <t>No.24</t>
  </si>
  <si>
    <t>No.5</t>
  </si>
  <si>
    <t>No.7</t>
  </si>
  <si>
    <t>g1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</si>
</sst>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4" borderId="0" xfId="0" applyFill="1" applyAlignment="1">
      <alignment vertical="center" wrapText="1"/>
    </xf>
    <xf numFmtId="0" fontId="1" fillId="0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8"/>
  <sheetViews>
    <sheetView tabSelected="1" workbookViewId="0">
      <selection activeCell="A1" sqref="A1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65.1150442477876" customWidth="1"/>
  </cols>
  <sheetData>
    <row r="2" spans="2:20">
      <c r="C2" t="s">
        <v>0</v>
      </c>
      <c r="D2" t="s">
        <v>1</v>
      </c>
      <c r="T2" t="s">
        <v>2</v>
      </c>
    </row>
    <row r="4" ht="40.5" spans="2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2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40.5" spans="2:20">
      <c r="B6" s="1">
        <v>1</v>
      </c>
      <c r="C6" s="4"/>
      <c r="D6" s="4"/>
      <c r="E6" s="4">
        <v>0</v>
      </c>
      <c r="F6" s="4">
        <v>0</v>
      </c>
      <c r="G6" s="4">
        <v>0</v>
      </c>
      <c r="H6" s="4">
        <v>0</v>
      </c>
      <c r="I6" s="4">
        <f t="shared" ref="I6:I15" si="0">E6+G6</f>
        <v>0</v>
      </c>
      <c r="J6" s="4">
        <f t="shared" ref="J6:J15" si="1">F6+H6</f>
        <v>0</v>
      </c>
      <c r="K6" s="16">
        <f t="shared" ref="K6:K15" si="2">2*E6+3*G6</f>
        <v>0</v>
      </c>
      <c r="L6" s="4">
        <v>0</v>
      </c>
      <c r="M6" s="4">
        <v>0</v>
      </c>
      <c r="N6" s="16">
        <f t="shared" ref="N6:N15" si="3">L6+M6</f>
        <v>0</v>
      </c>
      <c r="O6" s="4">
        <v>0</v>
      </c>
      <c r="P6" s="4">
        <v>0</v>
      </c>
      <c r="Q6" s="4">
        <v>0</v>
      </c>
      <c r="R6" s="4">
        <v>0</v>
      </c>
      <c r="T6" s="24" t="str">
        <f t="shared" ref="T6:T15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"gx", "pts": 0, "reb": 0, "ast": 0, "stl": 0, "blk": 0, "tov": 0, "fgm": 0, "fga": 0, "fg2m": 0, "fg2a": 0, "fg3m": 0, "fg3a": 0, "oreb": 0}</v>
      </c>
    </row>
    <row r="7" ht="40.5" spans="2:20">
      <c r="B7" s="1">
        <v>2</v>
      </c>
      <c r="C7" s="2"/>
      <c r="D7" s="2"/>
      <c r="E7" s="2">
        <v>0</v>
      </c>
      <c r="F7" s="2">
        <v>0</v>
      </c>
      <c r="G7" s="2">
        <v>0</v>
      </c>
      <c r="H7" s="2">
        <v>0</v>
      </c>
      <c r="I7" s="2">
        <f t="shared" si="0"/>
        <v>0</v>
      </c>
      <c r="J7" s="2">
        <f t="shared" si="1"/>
        <v>0</v>
      </c>
      <c r="K7" s="2">
        <f t="shared" si="2"/>
        <v>0</v>
      </c>
      <c r="L7" s="2">
        <v>0</v>
      </c>
      <c r="M7" s="2">
        <v>0</v>
      </c>
      <c r="N7" s="2">
        <f t="shared" si="3"/>
        <v>0</v>
      </c>
      <c r="O7" s="2">
        <v>0</v>
      </c>
      <c r="P7" s="2">
        <v>0</v>
      </c>
      <c r="Q7" s="2">
        <v>0</v>
      </c>
      <c r="R7" s="2">
        <v>0</v>
      </c>
      <c r="T7" s="24" t="str">
        <f t="shared" si="4"/>
        <v>{"match_id": "gx", "pts": 0, "reb": 0, "ast": 0, "stl": 0, "blk": 0, "tov": 0, "fgm": 0, "fga": 0, "fg2m": 0, "fg2a": 0, "fg3m": 0, "fg3a": 0, "oreb": 0}</v>
      </c>
    </row>
    <row r="8" ht="40.5" spans="2:20">
      <c r="B8" s="1">
        <v>3</v>
      </c>
      <c r="C8" s="4"/>
      <c r="D8" s="4"/>
      <c r="E8" s="4">
        <v>0</v>
      </c>
      <c r="F8" s="4">
        <v>0</v>
      </c>
      <c r="G8" s="4">
        <v>0</v>
      </c>
      <c r="H8" s="4">
        <v>0</v>
      </c>
      <c r="I8" s="4">
        <f t="shared" si="0"/>
        <v>0</v>
      </c>
      <c r="J8" s="4">
        <f t="shared" si="1"/>
        <v>0</v>
      </c>
      <c r="K8" s="16">
        <f t="shared" si="2"/>
        <v>0</v>
      </c>
      <c r="L8" s="4">
        <v>0</v>
      </c>
      <c r="M8" s="4">
        <v>0</v>
      </c>
      <c r="N8" s="16">
        <f t="shared" si="3"/>
        <v>0</v>
      </c>
      <c r="O8" s="4">
        <v>0</v>
      </c>
      <c r="P8" s="4">
        <v>0</v>
      </c>
      <c r="Q8" s="4">
        <v>0</v>
      </c>
      <c r="R8" s="4">
        <v>0</v>
      </c>
      <c r="T8" s="24" t="str">
        <f t="shared" si="4"/>
        <v>{"match_id": "gx", "pts": 0, "reb": 0, "ast": 0, "stl": 0, "blk": 0, "tov": 0, "fgm": 0, "fga": 0, "fg2m": 0, "fg2a": 0, "fg3m": 0, "fg3a": 0, "oreb": 0}</v>
      </c>
    </row>
    <row r="9" customFormat="1" ht="40.5" spans="2:20">
      <c r="B9" s="1">
        <v>4</v>
      </c>
      <c r="C9" s="11"/>
      <c r="D9" s="11"/>
      <c r="E9" s="2">
        <v>0</v>
      </c>
      <c r="F9" s="2">
        <v>0</v>
      </c>
      <c r="G9" s="2">
        <v>0</v>
      </c>
      <c r="H9" s="2">
        <v>0</v>
      </c>
      <c r="I9" s="2">
        <f t="shared" si="0"/>
        <v>0</v>
      </c>
      <c r="J9" s="2">
        <f t="shared" si="1"/>
        <v>0</v>
      </c>
      <c r="K9" s="2">
        <f t="shared" si="2"/>
        <v>0</v>
      </c>
      <c r="L9" s="2">
        <v>0</v>
      </c>
      <c r="M9" s="2">
        <v>0</v>
      </c>
      <c r="N9" s="2">
        <f t="shared" si="3"/>
        <v>0</v>
      </c>
      <c r="O9" s="2">
        <v>0</v>
      </c>
      <c r="P9" s="2">
        <v>0</v>
      </c>
      <c r="Q9" s="2">
        <v>0</v>
      </c>
      <c r="R9" s="2">
        <v>0</v>
      </c>
      <c r="T9" s="24" t="str">
        <f t="shared" si="4"/>
        <v>{"match_id": "gx", "pts": 0, "reb": 0, "ast": 0, "stl": 0, "blk": 0, "tov": 0, "fgm": 0, "fga": 0, "fg2m": 0, "fg2a": 0, "fg3m": 0, "fg3a": 0, "oreb": 0}</v>
      </c>
    </row>
    <row r="10" customFormat="1" ht="40.5" spans="2:20">
      <c r="B10" s="1">
        <v>5</v>
      </c>
      <c r="C10" s="4"/>
      <c r="D10" s="4"/>
      <c r="E10" s="4">
        <v>0</v>
      </c>
      <c r="F10" s="4">
        <v>0</v>
      </c>
      <c r="G10" s="4">
        <v>0</v>
      </c>
      <c r="H10" s="4">
        <v>0</v>
      </c>
      <c r="I10" s="4">
        <f t="shared" si="0"/>
        <v>0</v>
      </c>
      <c r="J10" s="4">
        <f t="shared" si="1"/>
        <v>0</v>
      </c>
      <c r="K10" s="16">
        <f t="shared" si="2"/>
        <v>0</v>
      </c>
      <c r="L10" s="4">
        <v>0</v>
      </c>
      <c r="M10" s="4">
        <v>0</v>
      </c>
      <c r="N10" s="16">
        <f t="shared" si="3"/>
        <v>0</v>
      </c>
      <c r="O10" s="4">
        <v>0</v>
      </c>
      <c r="P10" s="4">
        <v>0</v>
      </c>
      <c r="Q10" s="4">
        <v>0</v>
      </c>
      <c r="R10" s="4">
        <v>0</v>
      </c>
      <c r="T10" s="24" t="str">
        <f t="shared" si="4"/>
        <v>{"match_id": "gx", "pts": 0, "reb": 0, "ast": 0, "stl": 0, "blk": 0, "tov": 0, "fgm": 0, "fga": 0, "fg2m": 0, "fg2a": 0, "fg3m": 0, "fg3a": 0, "oreb": 0}</v>
      </c>
    </row>
    <row r="11" customFormat="1" ht="40.5" spans="2:20">
      <c r="B11" s="1">
        <v>6</v>
      </c>
      <c r="C11" s="11"/>
      <c r="D11" s="11"/>
      <c r="E11" s="2">
        <v>0</v>
      </c>
      <c r="F11" s="2">
        <v>0</v>
      </c>
      <c r="G11" s="2">
        <v>0</v>
      </c>
      <c r="H11" s="2">
        <v>0</v>
      </c>
      <c r="I11" s="2">
        <f t="shared" si="0"/>
        <v>0</v>
      </c>
      <c r="J11" s="2">
        <f t="shared" si="1"/>
        <v>0</v>
      </c>
      <c r="K11" s="2">
        <f t="shared" si="2"/>
        <v>0</v>
      </c>
      <c r="L11" s="2">
        <v>0</v>
      </c>
      <c r="M11" s="2">
        <v>0</v>
      </c>
      <c r="N11" s="2">
        <f t="shared" si="3"/>
        <v>0</v>
      </c>
      <c r="O11" s="2">
        <v>0</v>
      </c>
      <c r="P11" s="2">
        <v>0</v>
      </c>
      <c r="Q11" s="2">
        <v>0</v>
      </c>
      <c r="R11" s="2">
        <v>0</v>
      </c>
      <c r="T11" s="24" t="str">
        <f t="shared" si="4"/>
        <v>{"match_id": "gx", "pts": 0, "reb": 0, "ast": 0, "stl": 0, "blk": 0, "tov": 0, "fgm": 0, "fga": 0, "fg2m": 0, "fg2a": 0, "fg3m": 0, "fg3a": 0, "oreb": 0}</v>
      </c>
    </row>
    <row r="12" customFormat="1" ht="40.5" spans="2:20">
      <c r="B12" s="1">
        <v>7</v>
      </c>
      <c r="C12" s="4"/>
      <c r="D12" s="4"/>
      <c r="E12" s="4">
        <v>0</v>
      </c>
      <c r="F12" s="4">
        <v>0</v>
      </c>
      <c r="G12" s="4">
        <v>0</v>
      </c>
      <c r="H12" s="4">
        <v>0</v>
      </c>
      <c r="I12" s="4">
        <f t="shared" si="0"/>
        <v>0</v>
      </c>
      <c r="J12" s="4">
        <f t="shared" si="1"/>
        <v>0</v>
      </c>
      <c r="K12" s="16">
        <f t="shared" si="2"/>
        <v>0</v>
      </c>
      <c r="L12" s="4">
        <v>0</v>
      </c>
      <c r="M12" s="4">
        <v>0</v>
      </c>
      <c r="N12" s="16">
        <f t="shared" si="3"/>
        <v>0</v>
      </c>
      <c r="O12" s="4">
        <v>0</v>
      </c>
      <c r="P12" s="4">
        <v>0</v>
      </c>
      <c r="Q12" s="4">
        <v>0</v>
      </c>
      <c r="R12" s="4">
        <v>0</v>
      </c>
      <c r="T12" s="24" t="str">
        <f t="shared" si="4"/>
        <v>{"match_id": "gx", "pts": 0, "reb": 0, "ast": 0, "stl": 0, "blk": 0, "tov": 0, "fgm": 0, "fga": 0, "fg2m": 0, "fg2a": 0, "fg3m": 0, "fg3a": 0, "oreb": 0}</v>
      </c>
    </row>
    <row r="13" ht="40.5" spans="2:20">
      <c r="B13" s="1">
        <v>8</v>
      </c>
      <c r="C13" s="11"/>
      <c r="D13" s="11"/>
      <c r="E13" s="2">
        <v>0</v>
      </c>
      <c r="F13" s="2">
        <v>0</v>
      </c>
      <c r="G13" s="2">
        <v>0</v>
      </c>
      <c r="H13" s="2">
        <v>0</v>
      </c>
      <c r="I13" s="2">
        <f t="shared" si="0"/>
        <v>0</v>
      </c>
      <c r="J13" s="2">
        <f t="shared" si="1"/>
        <v>0</v>
      </c>
      <c r="K13" s="2">
        <f t="shared" si="2"/>
        <v>0</v>
      </c>
      <c r="L13" s="2">
        <v>0</v>
      </c>
      <c r="M13" s="2">
        <v>0</v>
      </c>
      <c r="N13" s="2">
        <f t="shared" si="3"/>
        <v>0</v>
      </c>
      <c r="O13" s="2">
        <v>0</v>
      </c>
      <c r="P13" s="2">
        <v>0</v>
      </c>
      <c r="Q13" s="2">
        <v>0</v>
      </c>
      <c r="R13" s="2">
        <v>0</v>
      </c>
      <c r="T13" s="24" t="str">
        <f t="shared" si="4"/>
        <v>{"match_id": "gx", "pts": 0, "reb": 0, "ast": 0, "stl": 0, "blk": 0, "tov": 0, "fgm": 0, "fga": 0, "fg2m": 0, "fg2a": 0, "fg3m": 0, "fg3a": 0, "oreb": 0}</v>
      </c>
    </row>
    <row r="14" ht="40.5" spans="2:20">
      <c r="B14" s="1">
        <v>9</v>
      </c>
      <c r="C14" s="4"/>
      <c r="D14" s="4"/>
      <c r="E14" s="4">
        <v>0</v>
      </c>
      <c r="F14" s="4">
        <v>0</v>
      </c>
      <c r="G14" s="4">
        <v>0</v>
      </c>
      <c r="H14" s="4">
        <v>0</v>
      </c>
      <c r="I14" s="4">
        <f t="shared" si="0"/>
        <v>0</v>
      </c>
      <c r="J14" s="4">
        <f t="shared" si="1"/>
        <v>0</v>
      </c>
      <c r="K14" s="16">
        <f t="shared" si="2"/>
        <v>0</v>
      </c>
      <c r="L14" s="4">
        <v>0</v>
      </c>
      <c r="M14" s="4">
        <v>0</v>
      </c>
      <c r="N14" s="16">
        <f t="shared" si="3"/>
        <v>0</v>
      </c>
      <c r="O14" s="4">
        <v>0</v>
      </c>
      <c r="P14" s="4">
        <v>0</v>
      </c>
      <c r="Q14" s="4">
        <v>0</v>
      </c>
      <c r="R14" s="4">
        <v>0</v>
      </c>
      <c r="T14" s="24" t="str">
        <f t="shared" si="4"/>
        <v>{"match_id": "gx", "pts": 0, "reb": 0, "ast": 0, "stl": 0, "blk": 0, "tov": 0, "fgm": 0, "fga": 0, "fg2m": 0, "fg2a": 0, "fg3m": 0, "fg3a": 0, "oreb": 0}</v>
      </c>
    </row>
    <row r="15" ht="40.5" spans="2:20">
      <c r="B15" s="1">
        <v>10</v>
      </c>
      <c r="C15" s="11"/>
      <c r="D15" s="11"/>
      <c r="E15" s="2">
        <v>0</v>
      </c>
      <c r="F15" s="2">
        <v>0</v>
      </c>
      <c r="G15" s="2">
        <v>0</v>
      </c>
      <c r="H15" s="2">
        <v>0</v>
      </c>
      <c r="I15" s="2">
        <f t="shared" si="0"/>
        <v>0</v>
      </c>
      <c r="J15" s="2">
        <f t="shared" si="1"/>
        <v>0</v>
      </c>
      <c r="K15" s="2">
        <f t="shared" si="2"/>
        <v>0</v>
      </c>
      <c r="L15" s="2">
        <v>0</v>
      </c>
      <c r="M15" s="2">
        <v>0</v>
      </c>
      <c r="N15" s="2">
        <f t="shared" si="3"/>
        <v>0</v>
      </c>
      <c r="O15" s="2">
        <v>0</v>
      </c>
      <c r="P15" s="2">
        <v>0</v>
      </c>
      <c r="Q15" s="2">
        <v>0</v>
      </c>
      <c r="R15" s="2">
        <v>0</v>
      </c>
      <c r="T15" s="24" t="str">
        <f t="shared" si="4"/>
        <v>{"match_id": "gx", "pts": 0, "reb": 0, "ast": 0, "stl": 0, "blk": 0, "tov": 0, "fgm": 0, "fga": 0, "fg2m": 0, "fg2a": 0, "fg3m": 0, "fg3a": 0, "oreb": 0}</v>
      </c>
    </row>
    <row r="16" ht="25.1" spans="2:20">
      <c r="B16" s="13" t="s">
        <v>19</v>
      </c>
      <c r="C16" s="13"/>
      <c r="D16" s="13"/>
      <c r="E16" s="14">
        <f t="shared" ref="E16:R16" si="5">SUM(E6:E15)</f>
        <v>0</v>
      </c>
      <c r="F16" s="14">
        <f t="shared" si="5"/>
        <v>0</v>
      </c>
      <c r="G16" s="14">
        <f t="shared" si="5"/>
        <v>0</v>
      </c>
      <c r="H16" s="14">
        <f t="shared" si="5"/>
        <v>0</v>
      </c>
      <c r="I16" s="14">
        <f t="shared" si="5"/>
        <v>0</v>
      </c>
      <c r="J16" s="14">
        <f t="shared" si="5"/>
        <v>0</v>
      </c>
      <c r="K16" s="15">
        <f t="shared" si="5"/>
        <v>0</v>
      </c>
      <c r="L16" s="14">
        <f t="shared" si="5"/>
        <v>0</v>
      </c>
      <c r="M16" s="14">
        <f t="shared" si="5"/>
        <v>0</v>
      </c>
      <c r="N16" s="14">
        <f t="shared" si="5"/>
        <v>0</v>
      </c>
      <c r="O16" s="14">
        <f t="shared" si="5"/>
        <v>0</v>
      </c>
      <c r="P16" s="14">
        <f t="shared" si="5"/>
        <v>0</v>
      </c>
      <c r="Q16" s="14">
        <f t="shared" si="5"/>
        <v>0</v>
      </c>
      <c r="R16" s="14">
        <f t="shared" si="5"/>
        <v>0</v>
      </c>
    </row>
    <row r="17" spans="2:20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40.5" spans="2:20">
      <c r="B18" s="1">
        <v>1</v>
      </c>
      <c r="C18" s="4"/>
      <c r="D18" s="4"/>
      <c r="E18" s="4">
        <v>0</v>
      </c>
      <c r="F18" s="4">
        <v>0</v>
      </c>
      <c r="G18" s="4">
        <v>0</v>
      </c>
      <c r="H18" s="4">
        <v>0</v>
      </c>
      <c r="I18" s="4">
        <f t="shared" ref="I18:I27" si="6">E18+G18</f>
        <v>0</v>
      </c>
      <c r="J18" s="4">
        <f t="shared" ref="J18:J27" si="7">F18+H18</f>
        <v>0</v>
      </c>
      <c r="K18" s="16">
        <f t="shared" ref="K18:K27" si="8">2*E18+3*G18</f>
        <v>0</v>
      </c>
      <c r="L18" s="4">
        <v>0</v>
      </c>
      <c r="M18" s="4">
        <v>0</v>
      </c>
      <c r="N18" s="16">
        <f t="shared" ref="N18:N27" si="9">L18+M18</f>
        <v>0</v>
      </c>
      <c r="O18" s="4">
        <v>0</v>
      </c>
      <c r="P18" s="4">
        <v>0</v>
      </c>
      <c r="Q18" s="4">
        <v>0</v>
      </c>
      <c r="R18" s="4">
        <v>0</v>
      </c>
      <c r="T18" s="24" t="str">
        <f t="shared" ref="T18:T27" si="10">"{""match_id"": """&amp;$D$2&amp;""", ""pts"": "&amp;K18&amp;", ""reb"": "&amp;N18&amp;", ""ast"": "&amp;O18&amp;", ""stl"": "&amp;P18&amp;", ""blk"": "&amp;R18&amp;", ""tov"": "&amp;Q18&amp;", ""fgm"": "&amp;I18&amp;", ""fga"": "&amp;J18&amp;", ""fg2m"": "&amp;E18&amp;", ""fg2a"": "&amp;F18&amp;", ""fg3m"": "&amp;G18&amp;", ""fg3a"": "&amp;H18&amp;", ""oreb"": "&amp;L18&amp;"}"</f>
        <v>{"match_id": "gx", "pts": 0, "reb": 0, "ast": 0, "stl": 0, "blk": 0, "tov": 0, "fgm": 0, "fga": 0, "fg2m": 0, "fg2a": 0, "fg3m": 0, "fg3a": 0, "oreb": 0}</v>
      </c>
    </row>
    <row r="19" ht="40.5" spans="2:20">
      <c r="B19" s="1">
        <v>2</v>
      </c>
      <c r="C19" s="2"/>
      <c r="D19" s="2"/>
      <c r="E19" s="2">
        <v>0</v>
      </c>
      <c r="F19" s="2">
        <v>0</v>
      </c>
      <c r="G19" s="2">
        <v>0</v>
      </c>
      <c r="H19" s="2">
        <v>0</v>
      </c>
      <c r="I19" s="2">
        <f t="shared" si="6"/>
        <v>0</v>
      </c>
      <c r="J19" s="2">
        <f t="shared" si="7"/>
        <v>0</v>
      </c>
      <c r="K19" s="2">
        <f t="shared" si="8"/>
        <v>0</v>
      </c>
      <c r="L19" s="2">
        <v>0</v>
      </c>
      <c r="M19" s="2">
        <v>0</v>
      </c>
      <c r="N19" s="2">
        <f t="shared" si="9"/>
        <v>0</v>
      </c>
      <c r="O19" s="2">
        <v>0</v>
      </c>
      <c r="P19" s="2">
        <v>0</v>
      </c>
      <c r="Q19" s="2">
        <v>0</v>
      </c>
      <c r="R19" s="2">
        <v>0</v>
      </c>
      <c r="T19" s="24" t="str">
        <f t="shared" si="10"/>
        <v>{"match_id": "gx", "pts": 0, "reb": 0, "ast": 0, "stl": 0, "blk": 0, "tov": 0, "fgm": 0, "fga": 0, "fg2m": 0, "fg2a": 0, "fg3m": 0, "fg3a": 0, "oreb": 0}</v>
      </c>
    </row>
    <row r="20" ht="40.5" spans="2:20">
      <c r="B20" s="1">
        <v>3</v>
      </c>
      <c r="C20" s="4"/>
      <c r="D20" s="4"/>
      <c r="E20" s="4">
        <v>0</v>
      </c>
      <c r="F20" s="4">
        <v>0</v>
      </c>
      <c r="G20" s="4">
        <v>0</v>
      </c>
      <c r="H20" s="4">
        <v>0</v>
      </c>
      <c r="I20" s="4">
        <f t="shared" si="6"/>
        <v>0</v>
      </c>
      <c r="J20" s="4">
        <f t="shared" si="7"/>
        <v>0</v>
      </c>
      <c r="K20" s="16">
        <f t="shared" si="8"/>
        <v>0</v>
      </c>
      <c r="L20" s="4">
        <v>0</v>
      </c>
      <c r="M20" s="4">
        <v>0</v>
      </c>
      <c r="N20" s="16">
        <f t="shared" si="9"/>
        <v>0</v>
      </c>
      <c r="O20" s="4">
        <v>0</v>
      </c>
      <c r="P20" s="4">
        <v>0</v>
      </c>
      <c r="Q20" s="4">
        <v>0</v>
      </c>
      <c r="R20" s="4">
        <v>0</v>
      </c>
      <c r="T20" s="24" t="str">
        <f t="shared" si="10"/>
        <v>{"match_id": "gx", "pts": 0, "reb": 0, "ast": 0, "stl": 0, "blk": 0, "tov": 0, "fgm": 0, "fga": 0, "fg2m": 0, "fg2a": 0, "fg3m": 0, "fg3a": 0, "oreb": 0}</v>
      </c>
    </row>
    <row r="21" ht="40.5" spans="2:20">
      <c r="B21" s="1">
        <v>4</v>
      </c>
      <c r="C21" s="2"/>
      <c r="D21" s="2"/>
      <c r="E21" s="2">
        <v>0</v>
      </c>
      <c r="F21" s="2">
        <v>0</v>
      </c>
      <c r="G21" s="2">
        <v>0</v>
      </c>
      <c r="H21" s="2">
        <v>0</v>
      </c>
      <c r="I21" s="2">
        <f t="shared" si="6"/>
        <v>0</v>
      </c>
      <c r="J21" s="2">
        <f t="shared" si="7"/>
        <v>0</v>
      </c>
      <c r="K21" s="2">
        <f t="shared" si="8"/>
        <v>0</v>
      </c>
      <c r="L21" s="2">
        <v>0</v>
      </c>
      <c r="M21" s="2">
        <v>0</v>
      </c>
      <c r="N21" s="2">
        <f t="shared" si="9"/>
        <v>0</v>
      </c>
      <c r="O21" s="2">
        <v>0</v>
      </c>
      <c r="P21" s="2">
        <v>0</v>
      </c>
      <c r="Q21" s="2">
        <v>0</v>
      </c>
      <c r="R21" s="2">
        <v>0</v>
      </c>
      <c r="T21" s="24" t="str">
        <f t="shared" si="10"/>
        <v>{"match_id": "gx", "pts": 0, "reb": 0, "ast": 0, "stl": 0, "blk": 0, "tov": 0, "fgm": 0, "fga": 0, "fg2m": 0, "fg2a": 0, "fg3m": 0, "fg3a": 0, "oreb": 0}</v>
      </c>
    </row>
    <row r="22" customFormat="1" ht="40.5" spans="2:20">
      <c r="B22" s="1">
        <v>5</v>
      </c>
      <c r="C22" s="4"/>
      <c r="D22" s="4"/>
      <c r="E22" s="4">
        <v>0</v>
      </c>
      <c r="F22" s="4">
        <v>0</v>
      </c>
      <c r="G22" s="4">
        <v>0</v>
      </c>
      <c r="H22" s="4">
        <v>0</v>
      </c>
      <c r="I22" s="4">
        <f t="shared" si="6"/>
        <v>0</v>
      </c>
      <c r="J22" s="4">
        <f t="shared" si="7"/>
        <v>0</v>
      </c>
      <c r="K22" s="16">
        <f t="shared" si="8"/>
        <v>0</v>
      </c>
      <c r="L22" s="4">
        <v>0</v>
      </c>
      <c r="M22" s="4">
        <v>0</v>
      </c>
      <c r="N22" s="16">
        <f t="shared" si="9"/>
        <v>0</v>
      </c>
      <c r="O22" s="4">
        <v>0</v>
      </c>
      <c r="P22" s="4">
        <v>0</v>
      </c>
      <c r="Q22" s="4">
        <v>0</v>
      </c>
      <c r="R22" s="4">
        <v>0</v>
      </c>
      <c r="T22" s="24" t="str">
        <f t="shared" si="10"/>
        <v>{"match_id": "gx", "pts": 0, "reb": 0, "ast": 0, "stl": 0, "blk": 0, "tov": 0, "fgm": 0, "fga": 0, "fg2m": 0, "fg2a": 0, "fg3m": 0, "fg3a": 0, "oreb": 0}</v>
      </c>
    </row>
    <row r="23" customFormat="1" ht="40.5" spans="2:20">
      <c r="B23" s="1">
        <v>6</v>
      </c>
      <c r="C23" s="2"/>
      <c r="D23" s="2"/>
      <c r="E23" s="2">
        <v>0</v>
      </c>
      <c r="F23" s="2">
        <v>0</v>
      </c>
      <c r="G23" s="2">
        <v>0</v>
      </c>
      <c r="H23" s="2">
        <v>0</v>
      </c>
      <c r="I23" s="2">
        <f t="shared" si="6"/>
        <v>0</v>
      </c>
      <c r="J23" s="2">
        <f t="shared" si="7"/>
        <v>0</v>
      </c>
      <c r="K23" s="2">
        <f t="shared" si="8"/>
        <v>0</v>
      </c>
      <c r="L23" s="2">
        <v>0</v>
      </c>
      <c r="M23" s="2">
        <v>0</v>
      </c>
      <c r="N23" s="2">
        <f t="shared" si="9"/>
        <v>0</v>
      </c>
      <c r="O23" s="2">
        <v>0</v>
      </c>
      <c r="P23" s="2">
        <v>0</v>
      </c>
      <c r="Q23" s="2">
        <v>0</v>
      </c>
      <c r="R23" s="2">
        <v>0</v>
      </c>
      <c r="T23" s="24" t="str">
        <f t="shared" si="10"/>
        <v>{"match_id": "gx", "pts": 0, "reb": 0, "ast": 0, "stl": 0, "blk": 0, "tov": 0, "fgm": 0, "fga": 0, "fg2m": 0, "fg2a": 0, "fg3m": 0, "fg3a": 0, "oreb": 0}</v>
      </c>
    </row>
    <row r="24" customFormat="1" ht="40.5" spans="2:20">
      <c r="B24" s="1">
        <v>7</v>
      </c>
      <c r="C24" s="4"/>
      <c r="D24" s="4"/>
      <c r="E24" s="4">
        <v>0</v>
      </c>
      <c r="F24" s="4">
        <v>0</v>
      </c>
      <c r="G24" s="4">
        <v>0</v>
      </c>
      <c r="H24" s="4">
        <v>0</v>
      </c>
      <c r="I24" s="4">
        <f t="shared" si="6"/>
        <v>0</v>
      </c>
      <c r="J24" s="4">
        <f t="shared" si="7"/>
        <v>0</v>
      </c>
      <c r="K24" s="16">
        <f t="shared" si="8"/>
        <v>0</v>
      </c>
      <c r="L24" s="4">
        <v>0</v>
      </c>
      <c r="M24" s="4">
        <v>0</v>
      </c>
      <c r="N24" s="16">
        <f t="shared" si="9"/>
        <v>0</v>
      </c>
      <c r="O24" s="4">
        <v>0</v>
      </c>
      <c r="P24" s="4">
        <v>0</v>
      </c>
      <c r="Q24" s="4">
        <v>0</v>
      </c>
      <c r="R24" s="4">
        <v>0</v>
      </c>
      <c r="T24" s="24" t="str">
        <f t="shared" si="10"/>
        <v>{"match_id": "gx", "pts": 0, "reb": 0, "ast": 0, "stl": 0, "blk": 0, "tov": 0, "fgm": 0, "fga": 0, "fg2m": 0, "fg2a": 0, "fg3m": 0, "fg3a": 0, "oreb": 0}</v>
      </c>
    </row>
    <row r="25" customFormat="1" ht="40.5" spans="2:20">
      <c r="B25" s="1">
        <v>8</v>
      </c>
      <c r="C25" s="2"/>
      <c r="D25" s="2"/>
      <c r="E25" s="2">
        <v>0</v>
      </c>
      <c r="F25" s="2">
        <v>0</v>
      </c>
      <c r="G25" s="2">
        <v>0</v>
      </c>
      <c r="H25" s="2">
        <v>0</v>
      </c>
      <c r="I25" s="2">
        <f t="shared" si="6"/>
        <v>0</v>
      </c>
      <c r="J25" s="2">
        <f t="shared" si="7"/>
        <v>0</v>
      </c>
      <c r="K25" s="2">
        <f t="shared" si="8"/>
        <v>0</v>
      </c>
      <c r="L25" s="2">
        <v>0</v>
      </c>
      <c r="M25" s="2">
        <v>0</v>
      </c>
      <c r="N25" s="2">
        <f t="shared" si="9"/>
        <v>0</v>
      </c>
      <c r="O25" s="2">
        <v>0</v>
      </c>
      <c r="P25" s="2">
        <v>0</v>
      </c>
      <c r="Q25" s="2">
        <v>0</v>
      </c>
      <c r="R25" s="2">
        <v>0</v>
      </c>
      <c r="T25" s="24" t="str">
        <f t="shared" si="10"/>
        <v>{"match_id": "gx", "pts": 0, "reb": 0, "ast": 0, "stl": 0, "blk": 0, "tov": 0, "fgm": 0, "fga": 0, "fg2m": 0, "fg2a": 0, "fg3m": 0, "fg3a": 0, "oreb": 0}</v>
      </c>
    </row>
    <row r="26" ht="40.5" spans="2:20">
      <c r="B26" s="1">
        <v>9</v>
      </c>
      <c r="C26" s="4"/>
      <c r="D26" s="4"/>
      <c r="E26" s="4">
        <v>0</v>
      </c>
      <c r="F26" s="4">
        <v>0</v>
      </c>
      <c r="G26" s="4">
        <v>0</v>
      </c>
      <c r="H26" s="4">
        <v>0</v>
      </c>
      <c r="I26" s="4">
        <f t="shared" si="6"/>
        <v>0</v>
      </c>
      <c r="J26" s="4">
        <f t="shared" si="7"/>
        <v>0</v>
      </c>
      <c r="K26" s="16">
        <f t="shared" si="8"/>
        <v>0</v>
      </c>
      <c r="L26" s="4">
        <v>0</v>
      </c>
      <c r="M26" s="4">
        <v>0</v>
      </c>
      <c r="N26" s="16">
        <f t="shared" si="9"/>
        <v>0</v>
      </c>
      <c r="O26" s="4">
        <v>0</v>
      </c>
      <c r="P26" s="4">
        <v>0</v>
      </c>
      <c r="Q26" s="4">
        <v>0</v>
      </c>
      <c r="R26" s="4">
        <v>0</v>
      </c>
      <c r="T26" s="24" t="str">
        <f t="shared" si="10"/>
        <v>{"match_id": "gx", "pts": 0, "reb": 0, "ast": 0, "stl": 0, "blk": 0, "tov": 0, "fgm": 0, "fga": 0, "fg2m": 0, "fg2a": 0, "fg3m": 0, "fg3a": 0, "oreb": 0}</v>
      </c>
    </row>
    <row r="27" ht="40.5" spans="2:20">
      <c r="B27" s="1">
        <v>10</v>
      </c>
      <c r="C27" s="2"/>
      <c r="D27" s="2"/>
      <c r="E27" s="2">
        <v>0</v>
      </c>
      <c r="F27" s="2">
        <v>0</v>
      </c>
      <c r="G27" s="2">
        <v>0</v>
      </c>
      <c r="H27" s="2">
        <v>0</v>
      </c>
      <c r="I27" s="2">
        <f t="shared" si="6"/>
        <v>0</v>
      </c>
      <c r="J27" s="2">
        <f t="shared" si="7"/>
        <v>0</v>
      </c>
      <c r="K27" s="2">
        <f t="shared" si="8"/>
        <v>0</v>
      </c>
      <c r="L27" s="2">
        <v>0</v>
      </c>
      <c r="M27" s="2">
        <v>0</v>
      </c>
      <c r="N27" s="2">
        <f t="shared" si="9"/>
        <v>0</v>
      </c>
      <c r="O27" s="2">
        <v>0</v>
      </c>
      <c r="P27" s="2">
        <v>0</v>
      </c>
      <c r="Q27" s="2">
        <v>0</v>
      </c>
      <c r="R27" s="2">
        <v>0</v>
      </c>
      <c r="T27" s="24" t="str">
        <f t="shared" si="10"/>
        <v>{"match_id": "gx", "pts": 0, "reb": 0, "ast": 0, "stl": 0, "blk": 0, "tov": 0, "fgm": 0, "fga": 0, "fg2m": 0, "fg2a": 0, "fg3m": 0, "fg3a": 0, "oreb": 0}</v>
      </c>
    </row>
    <row r="28" ht="25.1" spans="2:20">
      <c r="B28" s="18" t="s">
        <v>19</v>
      </c>
      <c r="C28" s="18"/>
      <c r="D28" s="18"/>
      <c r="E28" s="6">
        <f>SUM(E18:E27)</f>
        <v>0</v>
      </c>
      <c r="F28" s="6">
        <f>SUM(F18:F27)</f>
        <v>0</v>
      </c>
      <c r="G28" s="6">
        <f t="shared" ref="G28:R28" si="11">SUM(G18:G27)</f>
        <v>0</v>
      </c>
      <c r="H28" s="6">
        <f t="shared" si="11"/>
        <v>0</v>
      </c>
      <c r="I28" s="6">
        <f t="shared" si="11"/>
        <v>0</v>
      </c>
      <c r="J28" s="6">
        <f t="shared" si="11"/>
        <v>0</v>
      </c>
      <c r="K28" s="19">
        <f t="shared" si="11"/>
        <v>0</v>
      </c>
      <c r="L28" s="6">
        <f t="shared" si="11"/>
        <v>0</v>
      </c>
      <c r="M28" s="6">
        <f t="shared" si="11"/>
        <v>0</v>
      </c>
      <c r="N28" s="6">
        <f t="shared" si="11"/>
        <v>0</v>
      </c>
      <c r="O28" s="6">
        <f t="shared" si="11"/>
        <v>0</v>
      </c>
      <c r="P28" s="6">
        <f t="shared" si="11"/>
        <v>0</v>
      </c>
      <c r="Q28" s="6">
        <f t="shared" si="11"/>
        <v>0</v>
      </c>
      <c r="R28" s="6">
        <f t="shared" si="11"/>
        <v>0</v>
      </c>
    </row>
  </sheetData>
  <mergeCells count="4">
    <mergeCell ref="B5:R5"/>
    <mergeCell ref="B16:D16"/>
    <mergeCell ref="B17:R17"/>
    <mergeCell ref="B28:D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2"/>
  <sheetViews>
    <sheetView zoomScale="85" zoomScaleNormal="85" workbookViewId="0">
      <selection activeCell="A1" sqref="A1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95.8938053097345" customWidth="1"/>
  </cols>
  <sheetData>
    <row r="2" spans="2:20">
      <c r="C2" t="s">
        <v>0</v>
      </c>
      <c r="D2" t="s">
        <v>20</v>
      </c>
    </row>
    <row r="4" ht="40.5" spans="2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2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" spans="2:20">
      <c r="B6" s="1">
        <v>1</v>
      </c>
      <c r="C6" s="4"/>
      <c r="D6" s="4" t="s">
        <v>21</v>
      </c>
      <c r="E6" s="4">
        <v>1</v>
      </c>
      <c r="F6" s="4">
        <v>2</v>
      </c>
      <c r="G6" s="4">
        <v>4</v>
      </c>
      <c r="H6" s="4">
        <v>9</v>
      </c>
      <c r="I6" s="4">
        <f t="shared" ref="I6:I12" si="0">E6+G6</f>
        <v>5</v>
      </c>
      <c r="J6" s="4">
        <f t="shared" ref="J6:J12" si="1">F6+H6</f>
        <v>11</v>
      </c>
      <c r="K6" s="20">
        <f t="shared" ref="K6:K12" si="2">2*E6+3*G6</f>
        <v>14</v>
      </c>
      <c r="L6" s="4">
        <v>1</v>
      </c>
      <c r="M6" s="4">
        <v>3</v>
      </c>
      <c r="N6" s="4">
        <f t="shared" ref="N6:N12" si="3">L6+M6</f>
        <v>4</v>
      </c>
      <c r="O6" s="4">
        <v>0</v>
      </c>
      <c r="P6" s="4">
        <v>0</v>
      </c>
      <c r="Q6" s="4">
        <v>3</v>
      </c>
      <c r="R6" s="4">
        <v>0</v>
      </c>
      <c r="T6" s="8" t="str">
        <f t="shared" ref="T6:T12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"g6", "pts": 14, "reb": 4, "ast": 0, "stl": 0, "blk": 0, "tov": 3, "fgm": 5, "fga": 11, "fg2m": 1, "fg2a": 2, "fg3m": 4, "fg3a": 9, "oreb": 1}</v>
      </c>
    </row>
    <row r="7" ht="27" spans="2:20">
      <c r="B7" s="1">
        <v>2</v>
      </c>
      <c r="C7" s="2"/>
      <c r="D7" s="2" t="s">
        <v>22</v>
      </c>
      <c r="E7" s="2">
        <v>1</v>
      </c>
      <c r="F7" s="2">
        <v>4</v>
      </c>
      <c r="G7" s="2">
        <v>0</v>
      </c>
      <c r="H7" s="2">
        <v>0</v>
      </c>
      <c r="I7" s="2">
        <f t="shared" si="0"/>
        <v>1</v>
      </c>
      <c r="J7" s="2">
        <f t="shared" si="1"/>
        <v>4</v>
      </c>
      <c r="K7" s="2">
        <f t="shared" si="2"/>
        <v>2</v>
      </c>
      <c r="L7" s="2">
        <v>0</v>
      </c>
      <c r="M7" s="2">
        <v>6</v>
      </c>
      <c r="N7" s="2">
        <f t="shared" si="3"/>
        <v>6</v>
      </c>
      <c r="O7" s="2">
        <v>0</v>
      </c>
      <c r="P7" s="2">
        <v>0</v>
      </c>
      <c r="Q7" s="2">
        <v>1</v>
      </c>
      <c r="R7" s="21">
        <v>5</v>
      </c>
      <c r="T7" s="8" t="str">
        <f t="shared" si="4"/>
        <v>{"match_id": "g6", "pts": 2, "reb": 6, "ast": 0, "stl": 0, "blk": 5, "tov": 1, "fgm": 1, "fga": 4, "fg2m": 1, "fg2a": 4, "fg3m": 0, "fg3a": 0, "oreb": 0}</v>
      </c>
    </row>
    <row r="8" ht="27" spans="2:20">
      <c r="B8" s="1">
        <v>3</v>
      </c>
      <c r="C8" s="4"/>
      <c r="D8" s="4" t="s">
        <v>23</v>
      </c>
      <c r="E8" s="4">
        <v>0</v>
      </c>
      <c r="F8" s="4">
        <v>1</v>
      </c>
      <c r="G8" s="4">
        <v>0</v>
      </c>
      <c r="H8" s="4">
        <v>7</v>
      </c>
      <c r="I8" s="4">
        <f t="shared" si="0"/>
        <v>0</v>
      </c>
      <c r="J8" s="4">
        <f t="shared" si="1"/>
        <v>8</v>
      </c>
      <c r="K8" s="4">
        <f t="shared" si="2"/>
        <v>0</v>
      </c>
      <c r="L8" s="4">
        <v>0</v>
      </c>
      <c r="M8" s="4">
        <v>2</v>
      </c>
      <c r="N8" s="4">
        <f t="shared" si="3"/>
        <v>2</v>
      </c>
      <c r="O8" s="4">
        <v>2</v>
      </c>
      <c r="P8" s="4">
        <v>1</v>
      </c>
      <c r="Q8" s="4">
        <v>0</v>
      </c>
      <c r="R8" s="4">
        <v>0</v>
      </c>
      <c r="T8" s="8" t="str">
        <f t="shared" si="4"/>
        <v>{"match_id": "g6", "pts": 0, "reb": 2, "ast": 2, "stl": 1, "blk": 0, "tov": 0, "fgm": 0, "fga": 8, "fg2m": 0, "fg2a": 1, "fg3m": 0, "fg3a": 7, "oreb": 0}</v>
      </c>
    </row>
    <row r="9" customFormat="1" ht="27" spans="2:20">
      <c r="B9" s="1">
        <v>4</v>
      </c>
      <c r="C9" s="11"/>
      <c r="D9" s="11" t="s">
        <v>24</v>
      </c>
      <c r="E9" s="11">
        <v>0</v>
      </c>
      <c r="F9" s="11">
        <v>5</v>
      </c>
      <c r="G9" s="11">
        <v>0</v>
      </c>
      <c r="H9" s="11">
        <v>0</v>
      </c>
      <c r="I9" s="2">
        <f t="shared" si="0"/>
        <v>0</v>
      </c>
      <c r="J9" s="2">
        <f t="shared" si="1"/>
        <v>5</v>
      </c>
      <c r="K9" s="2">
        <f t="shared" si="2"/>
        <v>0</v>
      </c>
      <c r="L9" s="11">
        <v>0</v>
      </c>
      <c r="M9" s="11">
        <v>0</v>
      </c>
      <c r="N9" s="2">
        <f t="shared" si="3"/>
        <v>0</v>
      </c>
      <c r="O9" s="11">
        <v>2</v>
      </c>
      <c r="P9" s="11">
        <v>0</v>
      </c>
      <c r="Q9" s="11">
        <v>0</v>
      </c>
      <c r="R9" s="11">
        <v>1</v>
      </c>
      <c r="T9" s="8" t="str">
        <f t="shared" si="4"/>
        <v>{"match_id": "g6", "pts": 0, "reb": 0, "ast": 2, "stl": 0, "blk": 1, "tov": 0, "fgm": 0, "fga": 5, "fg2m": 0, "fg2a": 5, "fg3m": 0, "fg3a": 0, "oreb": 0}</v>
      </c>
    </row>
    <row r="10" customFormat="1" ht="27" spans="2:20">
      <c r="B10" s="1">
        <v>5</v>
      </c>
      <c r="C10" s="4"/>
      <c r="D10" s="4" t="s">
        <v>25</v>
      </c>
      <c r="E10" s="4">
        <v>0</v>
      </c>
      <c r="F10" s="4">
        <v>3</v>
      </c>
      <c r="G10" s="4">
        <v>1</v>
      </c>
      <c r="H10" s="4">
        <v>8</v>
      </c>
      <c r="I10" s="4">
        <f t="shared" si="0"/>
        <v>1</v>
      </c>
      <c r="J10" s="4">
        <f t="shared" si="1"/>
        <v>11</v>
      </c>
      <c r="K10" s="4">
        <f t="shared" si="2"/>
        <v>3</v>
      </c>
      <c r="L10" s="4">
        <v>1</v>
      </c>
      <c r="M10" s="4">
        <v>3</v>
      </c>
      <c r="N10" s="4">
        <f t="shared" si="3"/>
        <v>4</v>
      </c>
      <c r="O10" s="4">
        <v>2</v>
      </c>
      <c r="P10" s="4">
        <v>0</v>
      </c>
      <c r="Q10" s="4">
        <v>1</v>
      </c>
      <c r="R10" s="4">
        <v>0</v>
      </c>
      <c r="T10" s="8" t="str">
        <f t="shared" si="4"/>
        <v>{"match_id": "g6", "pts": 3, "reb": 4, "ast": 2, "stl": 0, "blk": 0, "tov": 1, "fgm": 1, "fga": 11, "fg2m": 0, "fg2a": 3, "fg3m": 1, "fg3a": 8, "oreb": 1}</v>
      </c>
    </row>
    <row r="11" customFormat="1" ht="27" spans="2:20">
      <c r="B11" s="1">
        <v>6</v>
      </c>
      <c r="C11" s="11"/>
      <c r="D11" s="11" t="s">
        <v>26</v>
      </c>
      <c r="E11" s="11">
        <v>1</v>
      </c>
      <c r="F11" s="11">
        <v>2</v>
      </c>
      <c r="G11" s="11">
        <v>1</v>
      </c>
      <c r="H11" s="11">
        <v>2</v>
      </c>
      <c r="I11" s="2">
        <f t="shared" si="0"/>
        <v>2</v>
      </c>
      <c r="J11" s="2">
        <f t="shared" si="1"/>
        <v>4</v>
      </c>
      <c r="K11" s="2">
        <f t="shared" si="2"/>
        <v>5</v>
      </c>
      <c r="L11" s="11">
        <v>0</v>
      </c>
      <c r="M11" s="11">
        <v>2</v>
      </c>
      <c r="N11" s="2">
        <f t="shared" si="3"/>
        <v>2</v>
      </c>
      <c r="O11" s="11">
        <v>0</v>
      </c>
      <c r="P11" s="11">
        <v>0</v>
      </c>
      <c r="Q11" s="11">
        <v>0</v>
      </c>
      <c r="R11" s="11">
        <v>0</v>
      </c>
      <c r="T11" s="8" t="str">
        <f t="shared" si="4"/>
        <v>{"match_id": "g6", "pts": 5, "reb": 2, "ast": 0, "stl": 0, "blk": 0, "tov": 0, "fgm": 2, "fga": 4, "fg2m": 1, "fg2a": 2, "fg3m": 1, "fg3a": 2, "oreb": 0}</v>
      </c>
    </row>
    <row r="12" customFormat="1" ht="27" spans="2:20">
      <c r="B12" s="1">
        <v>7</v>
      </c>
      <c r="C12" s="4"/>
      <c r="D12" s="4" t="s">
        <v>27</v>
      </c>
      <c r="E12" s="4">
        <v>1</v>
      </c>
      <c r="F12" s="4">
        <v>1</v>
      </c>
      <c r="G12" s="4">
        <v>0</v>
      </c>
      <c r="H12" s="4">
        <v>0</v>
      </c>
      <c r="I12" s="4">
        <f t="shared" si="0"/>
        <v>1</v>
      </c>
      <c r="J12" s="4">
        <f t="shared" si="1"/>
        <v>1</v>
      </c>
      <c r="K12" s="4">
        <f t="shared" si="2"/>
        <v>2</v>
      </c>
      <c r="L12" s="4">
        <v>1</v>
      </c>
      <c r="M12" s="4">
        <v>5</v>
      </c>
      <c r="N12" s="4">
        <f t="shared" si="3"/>
        <v>6</v>
      </c>
      <c r="O12" s="4">
        <v>2</v>
      </c>
      <c r="P12" s="4">
        <v>2</v>
      </c>
      <c r="Q12" s="4">
        <v>0</v>
      </c>
      <c r="R12" s="4">
        <v>0</v>
      </c>
      <c r="T12" s="8" t="str">
        <f t="shared" si="4"/>
        <v>{"match_id": "g6", "pts": 2, "reb": 6, "ast": 2, "stl": 2, "blk": 0, "tov": 0, "fgm": 1, "fga": 1, "fg2m": 1, "fg2a": 1, "fg3m": 0, "fg3a": 0, "oreb": 1}</v>
      </c>
    </row>
    <row r="13" ht="25.1" spans="2:20">
      <c r="B13" s="13" t="s">
        <v>19</v>
      </c>
      <c r="C13" s="13"/>
      <c r="D13" s="13"/>
      <c r="E13" s="14">
        <f t="shared" ref="E13:R13" si="5">SUM(E6:E12)</f>
        <v>4</v>
      </c>
      <c r="F13" s="14">
        <f t="shared" si="5"/>
        <v>18</v>
      </c>
      <c r="G13" s="14">
        <f t="shared" si="5"/>
        <v>6</v>
      </c>
      <c r="H13" s="14">
        <f t="shared" si="5"/>
        <v>26</v>
      </c>
      <c r="I13" s="14">
        <f t="shared" si="5"/>
        <v>10</v>
      </c>
      <c r="J13" s="14">
        <f t="shared" si="5"/>
        <v>44</v>
      </c>
      <c r="K13" s="15">
        <f t="shared" si="5"/>
        <v>26</v>
      </c>
      <c r="L13" s="14">
        <f t="shared" si="5"/>
        <v>3</v>
      </c>
      <c r="M13" s="14">
        <f t="shared" si="5"/>
        <v>21</v>
      </c>
      <c r="N13" s="14">
        <f t="shared" si="5"/>
        <v>24</v>
      </c>
      <c r="O13" s="14">
        <f t="shared" si="5"/>
        <v>8</v>
      </c>
      <c r="P13" s="14">
        <f t="shared" si="5"/>
        <v>3</v>
      </c>
      <c r="Q13" s="14">
        <f t="shared" si="5"/>
        <v>5</v>
      </c>
      <c r="R13" s="14">
        <f t="shared" si="5"/>
        <v>6</v>
      </c>
    </row>
    <row r="14" spans="2:20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27" spans="2:20">
      <c r="B15" s="1">
        <v>1</v>
      </c>
      <c r="C15" s="4"/>
      <c r="D15" s="4" t="s">
        <v>28</v>
      </c>
      <c r="E15" s="4">
        <v>1</v>
      </c>
      <c r="F15" s="4">
        <v>3</v>
      </c>
      <c r="G15" s="4">
        <v>1</v>
      </c>
      <c r="H15" s="4">
        <v>1</v>
      </c>
      <c r="I15" s="4">
        <f t="shared" ref="I15:I21" si="6">E15+G15</f>
        <v>2</v>
      </c>
      <c r="J15" s="4">
        <f t="shared" ref="J15:J21" si="7">F15+H15</f>
        <v>4</v>
      </c>
      <c r="K15" s="4">
        <f t="shared" ref="K15:K21" si="8">2*E15+3*G15</f>
        <v>5</v>
      </c>
      <c r="L15" s="4">
        <v>3</v>
      </c>
      <c r="M15" s="4">
        <v>3</v>
      </c>
      <c r="N15" s="4">
        <f t="shared" ref="N15:N21" si="9">L15+M15</f>
        <v>6</v>
      </c>
      <c r="O15" s="4">
        <v>2</v>
      </c>
      <c r="P15" s="4">
        <v>1</v>
      </c>
      <c r="Q15" s="4">
        <v>2</v>
      </c>
      <c r="R15" s="4">
        <v>0</v>
      </c>
      <c r="T15" s="8" t="str">
        <f t="shared" ref="T15:T21" si="10">"{""match_id"": """&amp;$D$2&amp;""", ""pts"": "&amp;K15&amp;", ""reb"": "&amp;N15&amp;", ""ast"": "&amp;O15&amp;", ""stl"": "&amp;P15&amp;", ""blk"": "&amp;R15&amp;", ""tov"": "&amp;Q15&amp;", ""fgm"": "&amp;I15&amp;", ""fga"": "&amp;J15&amp;", ""fg2m"": "&amp;E15&amp;", ""fg2a"": "&amp;F15&amp;", ""fg3m"": "&amp;G15&amp;", ""fg3a"": "&amp;H15&amp;", ""oreb"": "&amp;L15&amp;"}"</f>
        <v>{"match_id": "g6", "pts": 5, "reb": 6, "ast": 2, "stl": 1, "blk": 0, "tov": 2, "fgm": 2, "fga": 4, "fg2m": 1, "fg2a": 3, "fg3m": 1, "fg3a": 1, "oreb": 3}</v>
      </c>
    </row>
    <row r="16" ht="27" spans="2:20">
      <c r="B16" s="1">
        <v>2</v>
      </c>
      <c r="C16" s="2">
        <v>24</v>
      </c>
      <c r="D16" s="2" t="s">
        <v>29</v>
      </c>
      <c r="E16" s="2">
        <v>0</v>
      </c>
      <c r="F16" s="3">
        <v>2</v>
      </c>
      <c r="G16" s="2">
        <v>0</v>
      </c>
      <c r="H16" s="2">
        <v>1</v>
      </c>
      <c r="I16" s="2">
        <f t="shared" si="6"/>
        <v>0</v>
      </c>
      <c r="J16" s="2">
        <f t="shared" si="7"/>
        <v>3</v>
      </c>
      <c r="K16" s="2">
        <f t="shared" si="8"/>
        <v>0</v>
      </c>
      <c r="L16" s="2">
        <v>1</v>
      </c>
      <c r="M16" s="2">
        <v>8</v>
      </c>
      <c r="N16" s="22">
        <f t="shared" si="9"/>
        <v>9</v>
      </c>
      <c r="O16" s="2">
        <v>2</v>
      </c>
      <c r="P16" s="2">
        <v>0</v>
      </c>
      <c r="Q16" s="2">
        <v>0</v>
      </c>
      <c r="R16" s="2">
        <v>0</v>
      </c>
      <c r="T16" s="8" t="str">
        <f t="shared" si="10"/>
        <v>{"match_id": "g6", "pts": 0, "reb": 9, "ast": 2, "stl": 0, "blk": 0, "tov": 0, "fgm": 0, "fga": 3, "fg2m": 0, "fg2a": 2, "fg3m": 0, "fg3a": 1, "oreb": 1}</v>
      </c>
    </row>
    <row r="17" ht="27" spans="2:20">
      <c r="B17" s="1">
        <v>3</v>
      </c>
      <c r="C17" s="4"/>
      <c r="D17" s="4" t="s">
        <v>30</v>
      </c>
      <c r="E17" s="4">
        <v>2</v>
      </c>
      <c r="F17" s="4">
        <v>8</v>
      </c>
      <c r="G17" s="4">
        <v>2</v>
      </c>
      <c r="H17" s="23">
        <v>5</v>
      </c>
      <c r="I17" s="4">
        <f t="shared" si="6"/>
        <v>4</v>
      </c>
      <c r="J17" s="4">
        <f t="shared" si="7"/>
        <v>13</v>
      </c>
      <c r="K17" s="20">
        <f t="shared" si="8"/>
        <v>10</v>
      </c>
      <c r="L17" s="4">
        <v>2</v>
      </c>
      <c r="M17" s="4">
        <v>5</v>
      </c>
      <c r="N17" s="4">
        <f t="shared" si="9"/>
        <v>7</v>
      </c>
      <c r="O17" s="4">
        <v>1</v>
      </c>
      <c r="P17" s="4">
        <v>1</v>
      </c>
      <c r="Q17" s="4">
        <v>0</v>
      </c>
      <c r="R17" s="4">
        <v>0</v>
      </c>
      <c r="T17" s="8" t="str">
        <f t="shared" si="10"/>
        <v>{"match_id": "g6", "pts": 10, "reb": 7, "ast": 1, "stl": 1, "blk": 0, "tov": 0, "fgm": 4, "fga": 13, "fg2m": 2, "fg2a": 8, "fg3m": 2, "fg3a": 5, "oreb": 2}</v>
      </c>
    </row>
    <row r="18" ht="27" spans="2:20">
      <c r="B18" s="1">
        <v>4</v>
      </c>
      <c r="C18" s="2">
        <v>5</v>
      </c>
      <c r="D18" s="2"/>
      <c r="E18" s="2">
        <v>0</v>
      </c>
      <c r="F18" s="2">
        <v>2</v>
      </c>
      <c r="G18" s="2">
        <v>0</v>
      </c>
      <c r="H18" s="2">
        <v>1</v>
      </c>
      <c r="I18" s="2">
        <f t="shared" si="6"/>
        <v>0</v>
      </c>
      <c r="J18" s="2">
        <f t="shared" si="7"/>
        <v>3</v>
      </c>
      <c r="K18" s="2">
        <f t="shared" si="8"/>
        <v>0</v>
      </c>
      <c r="L18" s="2">
        <v>4</v>
      </c>
      <c r="M18" s="2">
        <v>1</v>
      </c>
      <c r="N18" s="2">
        <f t="shared" si="9"/>
        <v>5</v>
      </c>
      <c r="O18" s="2">
        <v>0</v>
      </c>
      <c r="P18" s="2">
        <v>0</v>
      </c>
      <c r="Q18" s="2">
        <v>0</v>
      </c>
      <c r="R18" s="2">
        <v>0</v>
      </c>
      <c r="T18" s="8" t="str">
        <f t="shared" si="10"/>
        <v>{"match_id": "g6", "pts": 0, "reb": 5, "ast": 0, "stl": 0, "blk": 0, "tov": 0, "fgm": 0, "fga": 3, "fg2m": 0, "fg2a": 2, "fg3m": 0, "fg3a": 1, "oreb": 4}</v>
      </c>
    </row>
    <row r="19" customFormat="1" ht="27" spans="2:20">
      <c r="B19" s="1">
        <v>5</v>
      </c>
      <c r="C19" s="4">
        <v>7</v>
      </c>
      <c r="D19" s="4" t="s">
        <v>31</v>
      </c>
      <c r="E19" s="4">
        <v>2</v>
      </c>
      <c r="F19" s="4">
        <v>6</v>
      </c>
      <c r="G19" s="4">
        <v>1</v>
      </c>
      <c r="H19" s="4">
        <v>3</v>
      </c>
      <c r="I19" s="4">
        <f t="shared" si="6"/>
        <v>3</v>
      </c>
      <c r="J19" s="4">
        <f t="shared" si="7"/>
        <v>9</v>
      </c>
      <c r="K19" s="4">
        <f t="shared" si="8"/>
        <v>7</v>
      </c>
      <c r="L19" s="4">
        <v>0</v>
      </c>
      <c r="M19" s="4">
        <v>0</v>
      </c>
      <c r="N19" s="4">
        <f t="shared" si="9"/>
        <v>0</v>
      </c>
      <c r="O19" s="4">
        <v>1</v>
      </c>
      <c r="P19" s="4">
        <v>2</v>
      </c>
      <c r="Q19" s="4">
        <v>2</v>
      </c>
      <c r="R19" s="4">
        <v>0</v>
      </c>
      <c r="T19" s="8" t="str">
        <f t="shared" si="10"/>
        <v>{"match_id": "g6", "pts": 7, "reb": 0, "ast": 1, "stl": 2, "blk": 0, "tov": 2, "fgm": 3, "fga": 9, "fg2m": 2, "fg2a": 6, "fg3m": 1, "fg3a": 3, "oreb": 0}</v>
      </c>
    </row>
    <row r="20" customFormat="1" ht="27" spans="2:20">
      <c r="B20" s="1">
        <v>6</v>
      </c>
      <c r="C20" s="2">
        <v>49</v>
      </c>
      <c r="D20" s="2"/>
      <c r="E20" s="2">
        <v>2</v>
      </c>
      <c r="F20" s="2">
        <v>7</v>
      </c>
      <c r="G20" s="2">
        <v>0</v>
      </c>
      <c r="H20" s="2">
        <v>1</v>
      </c>
      <c r="I20" s="2">
        <f t="shared" si="6"/>
        <v>2</v>
      </c>
      <c r="J20" s="2">
        <f t="shared" si="7"/>
        <v>8</v>
      </c>
      <c r="K20" s="2">
        <f t="shared" si="8"/>
        <v>4</v>
      </c>
      <c r="L20" s="2">
        <v>2</v>
      </c>
      <c r="M20" s="2">
        <v>1</v>
      </c>
      <c r="N20" s="2">
        <f t="shared" si="9"/>
        <v>3</v>
      </c>
      <c r="O20" s="2">
        <v>0</v>
      </c>
      <c r="P20" s="2">
        <v>0</v>
      </c>
      <c r="Q20" s="2">
        <v>0</v>
      </c>
      <c r="R20" s="2">
        <v>0</v>
      </c>
      <c r="T20" s="8" t="str">
        <f t="shared" si="10"/>
        <v>{"match_id": "g6", "pts": 4, "reb": 3, "ast": 0, "stl": 0, "blk": 0, "tov": 0, "fgm": 2, "fga": 8, "fg2m": 2, "fg2a": 7, "fg3m": 0, "fg3a": 1, "oreb": 2}</v>
      </c>
    </row>
    <row r="21" customFormat="1" ht="27" spans="2:20">
      <c r="B21" s="1">
        <v>7</v>
      </c>
      <c r="C21" s="4"/>
      <c r="D21" s="4" t="s">
        <v>32</v>
      </c>
      <c r="E21" s="4">
        <v>2</v>
      </c>
      <c r="F21" s="4">
        <v>6</v>
      </c>
      <c r="G21" s="4">
        <v>1</v>
      </c>
      <c r="H21" s="4">
        <v>8</v>
      </c>
      <c r="I21" s="4">
        <f t="shared" si="6"/>
        <v>3</v>
      </c>
      <c r="J21" s="4">
        <f t="shared" si="7"/>
        <v>14</v>
      </c>
      <c r="K21" s="4">
        <f t="shared" si="8"/>
        <v>7</v>
      </c>
      <c r="L21" s="4">
        <v>3</v>
      </c>
      <c r="M21" s="4">
        <v>10</v>
      </c>
      <c r="N21" s="20">
        <f t="shared" si="9"/>
        <v>13</v>
      </c>
      <c r="O21" s="4">
        <v>1</v>
      </c>
      <c r="P21" s="4">
        <v>0</v>
      </c>
      <c r="Q21" s="4">
        <v>1</v>
      </c>
      <c r="R21" s="4">
        <v>0</v>
      </c>
      <c r="T21" s="8" t="str">
        <f t="shared" si="10"/>
        <v>{"match_id": "g6", "pts": 7, "reb": 13, "ast": 1, "stl": 0, "blk": 0, "tov": 1, "fgm": 3, "fga": 14, "fg2m": 2, "fg2a": 6, "fg3m": 1, "fg3a": 8, "oreb": 3}</v>
      </c>
    </row>
    <row r="22" ht="25.1" spans="2:20">
      <c r="B22" s="18" t="s">
        <v>19</v>
      </c>
      <c r="C22" s="18"/>
      <c r="D22" s="18"/>
      <c r="E22" s="6">
        <f t="shared" ref="E22:R22" si="11">SUM(E15:E21)</f>
        <v>9</v>
      </c>
      <c r="F22" s="6">
        <f t="shared" si="11"/>
        <v>34</v>
      </c>
      <c r="G22" s="6">
        <f t="shared" si="11"/>
        <v>5</v>
      </c>
      <c r="H22" s="6">
        <f t="shared" si="11"/>
        <v>20</v>
      </c>
      <c r="I22" s="6">
        <f t="shared" si="11"/>
        <v>14</v>
      </c>
      <c r="J22" s="6">
        <f t="shared" si="11"/>
        <v>54</v>
      </c>
      <c r="K22" s="19">
        <f t="shared" si="11"/>
        <v>33</v>
      </c>
      <c r="L22" s="6">
        <f t="shared" si="11"/>
        <v>15</v>
      </c>
      <c r="M22" s="6">
        <f t="shared" si="11"/>
        <v>28</v>
      </c>
      <c r="N22" s="6">
        <f t="shared" si="11"/>
        <v>43</v>
      </c>
      <c r="O22" s="6">
        <f t="shared" si="11"/>
        <v>7</v>
      </c>
      <c r="P22" s="6">
        <f t="shared" si="11"/>
        <v>4</v>
      </c>
      <c r="Q22" s="6">
        <f t="shared" si="11"/>
        <v>5</v>
      </c>
      <c r="R22" s="6">
        <f t="shared" si="11"/>
        <v>0</v>
      </c>
    </row>
  </sheetData>
  <mergeCells count="4">
    <mergeCell ref="B5:R5"/>
    <mergeCell ref="B13:D13"/>
    <mergeCell ref="B14:R14"/>
    <mergeCell ref="B22:D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21"/>
  <sheetViews>
    <sheetView workbookViewId="0">
      <selection activeCell="T19" sqref="T19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101.982300884956" customWidth="1"/>
  </cols>
  <sheetData>
    <row r="2" spans="1:20">
      <c r="C2" t="s">
        <v>0</v>
      </c>
      <c r="D2" t="s">
        <v>33</v>
      </c>
      <c r="T2" t="s">
        <v>2</v>
      </c>
    </row>
    <row r="3" spans="1:20">
      <c r="A3" t="s">
        <v>34</v>
      </c>
    </row>
    <row r="4" ht="40.5" spans="1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1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" spans="1:20">
      <c r="B6" s="1">
        <v>1</v>
      </c>
      <c r="C6" s="4"/>
      <c r="D6" s="4" t="s">
        <v>21</v>
      </c>
      <c r="E6" s="4">
        <v>0</v>
      </c>
      <c r="F6" s="4">
        <v>1</v>
      </c>
      <c r="G6" s="4">
        <v>1</v>
      </c>
      <c r="H6" s="4">
        <v>2</v>
      </c>
      <c r="I6" s="4">
        <f t="shared" ref="I6:I15" si="0">E6+G6</f>
        <v>1</v>
      </c>
      <c r="J6" s="4">
        <f t="shared" ref="J6:J15" si="1">F6+H6</f>
        <v>3</v>
      </c>
      <c r="K6" s="4">
        <f t="shared" ref="K6:K15" si="2">2*E6+3*G6</f>
        <v>3</v>
      </c>
      <c r="L6" s="4">
        <v>5</v>
      </c>
      <c r="M6" s="4">
        <v>6</v>
      </c>
      <c r="N6" s="20">
        <f t="shared" ref="N6:N15" si="3">L6+M6</f>
        <v>11</v>
      </c>
      <c r="O6" s="4">
        <v>0</v>
      </c>
      <c r="P6" s="4">
        <v>0</v>
      </c>
      <c r="Q6" s="4">
        <v>1</v>
      </c>
      <c r="R6" s="4">
        <v>1</v>
      </c>
      <c r="T6" s="8" t="str">
        <f t="shared" ref="T6:T12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"g5", "pts": 3, "reb": 11, "ast": 0, "stl": 0, "blk": 1, "tov": 1, "fgm": 1, "fga": 3, "fg2m": 0, "fg2a": 1, "fg3m": 1, "fg3a": 2, "oreb": 5}</v>
      </c>
    </row>
    <row r="7" ht="27" spans="1:20">
      <c r="B7" s="1">
        <v>2</v>
      </c>
      <c r="C7" s="2"/>
      <c r="D7" s="2" t="s">
        <v>22</v>
      </c>
      <c r="E7" s="2">
        <v>6</v>
      </c>
      <c r="F7" s="2">
        <v>9</v>
      </c>
      <c r="G7" s="2">
        <v>0</v>
      </c>
      <c r="H7" s="2">
        <v>0</v>
      </c>
      <c r="I7" s="2">
        <f t="shared" si="0"/>
        <v>6</v>
      </c>
      <c r="J7" s="2">
        <f t="shared" si="1"/>
        <v>9</v>
      </c>
      <c r="K7" s="21">
        <f t="shared" si="2"/>
        <v>12</v>
      </c>
      <c r="L7" s="2">
        <v>2</v>
      </c>
      <c r="M7" s="2">
        <v>3</v>
      </c>
      <c r="N7" s="2">
        <f t="shared" si="3"/>
        <v>5</v>
      </c>
      <c r="O7" s="2">
        <v>0</v>
      </c>
      <c r="P7" s="2">
        <v>1</v>
      </c>
      <c r="Q7" s="2">
        <v>0</v>
      </c>
      <c r="R7" s="2">
        <v>0</v>
      </c>
      <c r="T7" s="8" t="str">
        <f t="shared" si="4"/>
        <v>{"match_id": "g5", "pts": 12, "reb": 5, "ast": 0, "stl": 1, "blk": 0, "tov": 0, "fgm": 6, "fga": 9, "fg2m": 6, "fg2a": 9, "fg3m": 0, "fg3a": 0, "oreb": 2}</v>
      </c>
    </row>
    <row r="8" ht="27" spans="1:20">
      <c r="B8" s="1">
        <v>3</v>
      </c>
      <c r="C8" s="4"/>
      <c r="D8" s="4" t="s">
        <v>23</v>
      </c>
      <c r="E8" s="4">
        <v>1</v>
      </c>
      <c r="F8" s="4">
        <v>3</v>
      </c>
      <c r="G8" s="4">
        <v>1</v>
      </c>
      <c r="H8" s="4">
        <v>6</v>
      </c>
      <c r="I8" s="4">
        <f t="shared" si="0"/>
        <v>2</v>
      </c>
      <c r="J8" s="4">
        <f t="shared" si="1"/>
        <v>9</v>
      </c>
      <c r="K8" s="4">
        <f t="shared" si="2"/>
        <v>5</v>
      </c>
      <c r="L8" s="4">
        <v>1</v>
      </c>
      <c r="M8" s="4">
        <v>4</v>
      </c>
      <c r="N8" s="4">
        <f t="shared" si="3"/>
        <v>5</v>
      </c>
      <c r="O8" s="4">
        <v>4</v>
      </c>
      <c r="P8" s="4">
        <v>1</v>
      </c>
      <c r="Q8" s="4">
        <v>0</v>
      </c>
      <c r="R8" s="4">
        <v>0</v>
      </c>
      <c r="T8" s="8" t="str">
        <f t="shared" si="4"/>
        <v>{"match_id": "g5", "pts": 5, "reb": 5, "ast": 4, "stl": 1, "blk": 0, "tov": 0, "fgm": 2, "fga": 9, "fg2m": 1, "fg2a": 3, "fg3m": 1, "fg3a": 6, "oreb": 1}</v>
      </c>
    </row>
    <row r="9" customFormat="1" ht="27" spans="1:20">
      <c r="B9" s="1">
        <v>4</v>
      </c>
      <c r="C9" s="11"/>
      <c r="D9" s="11" t="s">
        <v>24</v>
      </c>
      <c r="E9" s="11">
        <v>1</v>
      </c>
      <c r="F9" s="11">
        <v>4</v>
      </c>
      <c r="G9" s="11">
        <v>0</v>
      </c>
      <c r="H9" s="11">
        <v>0</v>
      </c>
      <c r="I9" s="2">
        <f t="shared" si="0"/>
        <v>1</v>
      </c>
      <c r="J9" s="2">
        <f t="shared" si="1"/>
        <v>4</v>
      </c>
      <c r="K9" s="2">
        <f t="shared" si="2"/>
        <v>2</v>
      </c>
      <c r="L9" s="11">
        <v>1</v>
      </c>
      <c r="M9" s="11">
        <v>1</v>
      </c>
      <c r="N9" s="2">
        <f t="shared" si="3"/>
        <v>2</v>
      </c>
      <c r="O9" s="11">
        <v>2</v>
      </c>
      <c r="P9" s="11">
        <v>0</v>
      </c>
      <c r="Q9" s="11">
        <v>0</v>
      </c>
      <c r="R9" s="11">
        <v>0</v>
      </c>
      <c r="T9" s="8" t="str">
        <f t="shared" si="4"/>
        <v>{"match_id": "g5", "pts": 2, "reb": 2, "ast": 2, "stl": 0, "blk": 0, "tov": 0, "fgm": 1, "fga": 4, "fg2m": 1, "fg2a": 4, "fg3m": 0, "fg3a": 0, "oreb": 1}</v>
      </c>
    </row>
    <row r="10" customFormat="1" ht="27" spans="1:20">
      <c r="B10" s="1">
        <v>5</v>
      </c>
      <c r="C10" s="4"/>
      <c r="D10" s="4" t="s">
        <v>25</v>
      </c>
      <c r="E10" s="4">
        <v>2</v>
      </c>
      <c r="F10" s="4">
        <v>7</v>
      </c>
      <c r="G10" s="4">
        <v>1</v>
      </c>
      <c r="H10" s="4">
        <v>8</v>
      </c>
      <c r="I10" s="4">
        <f t="shared" si="0"/>
        <v>3</v>
      </c>
      <c r="J10" s="4">
        <f t="shared" si="1"/>
        <v>15</v>
      </c>
      <c r="K10" s="4">
        <f t="shared" si="2"/>
        <v>7</v>
      </c>
      <c r="L10" s="4">
        <v>0</v>
      </c>
      <c r="M10" s="4">
        <v>2</v>
      </c>
      <c r="N10" s="4">
        <f t="shared" si="3"/>
        <v>2</v>
      </c>
      <c r="O10" s="4">
        <v>1</v>
      </c>
      <c r="P10" s="4">
        <v>2</v>
      </c>
      <c r="Q10" s="4">
        <v>4</v>
      </c>
      <c r="R10" s="4">
        <v>0</v>
      </c>
      <c r="T10" s="8" t="str">
        <f t="shared" si="4"/>
        <v>{"match_id": "g5", "pts": 7, "reb": 2, "ast": 1, "stl": 2, "blk": 0, "tov": 4, "fgm": 3, "fga": 15, "fg2m": 2, "fg2a": 7, "fg3m": 1, "fg3a": 8, "oreb": 0}</v>
      </c>
    </row>
    <row r="11" customFormat="1" ht="27" spans="1:20">
      <c r="B11" s="1">
        <v>6</v>
      </c>
      <c r="C11" s="11"/>
      <c r="D11" s="11" t="s">
        <v>26</v>
      </c>
      <c r="E11" s="11">
        <v>2</v>
      </c>
      <c r="F11" s="11">
        <v>8</v>
      </c>
      <c r="G11" s="11">
        <v>0</v>
      </c>
      <c r="H11" s="11">
        <v>1</v>
      </c>
      <c r="I11" s="2">
        <f t="shared" si="0"/>
        <v>2</v>
      </c>
      <c r="J11" s="2">
        <f t="shared" si="1"/>
        <v>9</v>
      </c>
      <c r="K11" s="2">
        <f t="shared" si="2"/>
        <v>4</v>
      </c>
      <c r="L11" s="11">
        <v>4</v>
      </c>
      <c r="M11" s="11">
        <v>3</v>
      </c>
      <c r="N11" s="2">
        <f t="shared" si="3"/>
        <v>7</v>
      </c>
      <c r="O11" s="11">
        <v>1</v>
      </c>
      <c r="P11" s="11">
        <v>0</v>
      </c>
      <c r="Q11" s="11">
        <v>3</v>
      </c>
      <c r="R11" s="11">
        <v>0</v>
      </c>
      <c r="T11" s="8" t="str">
        <f t="shared" si="4"/>
        <v>{"match_id": "g5", "pts": 4, "reb": 7, "ast": 1, "stl": 0, "blk": 0, "tov": 3, "fgm": 2, "fga": 9, "fg2m": 2, "fg2a": 8, "fg3m": 0, "fg3a": 1, "oreb": 4}</v>
      </c>
    </row>
    <row r="12" customFormat="1" ht="27" spans="1:20">
      <c r="B12" s="1">
        <v>7</v>
      </c>
      <c r="C12" s="4"/>
      <c r="D12" s="4" t="s">
        <v>27</v>
      </c>
      <c r="E12" s="4">
        <v>0</v>
      </c>
      <c r="F12" s="4">
        <v>1</v>
      </c>
      <c r="G12" s="4">
        <v>0</v>
      </c>
      <c r="H12" s="4">
        <v>3</v>
      </c>
      <c r="I12" s="4">
        <f t="shared" si="0"/>
        <v>0</v>
      </c>
      <c r="J12" s="4">
        <f t="shared" si="1"/>
        <v>4</v>
      </c>
      <c r="K12" s="4">
        <f t="shared" si="2"/>
        <v>0</v>
      </c>
      <c r="L12" s="4">
        <v>5</v>
      </c>
      <c r="M12" s="4">
        <v>2</v>
      </c>
      <c r="N12" s="4">
        <f t="shared" si="3"/>
        <v>7</v>
      </c>
      <c r="O12" s="4">
        <v>3</v>
      </c>
      <c r="P12" s="4">
        <v>1</v>
      </c>
      <c r="Q12" s="4">
        <v>2</v>
      </c>
      <c r="R12" s="4">
        <v>1</v>
      </c>
      <c r="T12" s="8" t="str">
        <f t="shared" si="4"/>
        <v>{"match_id": "g5", "pts": 0, "reb": 7, "ast": 3, "stl": 1, "blk": 1, "tov": 2, "fgm": 0, "fga": 4, "fg2m": 0, "fg2a": 1, "fg3m": 0, "fg3a": 3, "oreb": 5}</v>
      </c>
    </row>
    <row r="13" ht="25.1" spans="1:20">
      <c r="B13" s="13" t="s">
        <v>19</v>
      </c>
      <c r="C13" s="13"/>
      <c r="D13" s="13"/>
      <c r="E13" s="14">
        <f t="shared" ref="E13:R13" si="5">SUM(E6:E12)</f>
        <v>12</v>
      </c>
      <c r="F13" s="14">
        <f t="shared" si="5"/>
        <v>33</v>
      </c>
      <c r="G13" s="14">
        <f t="shared" si="5"/>
        <v>3</v>
      </c>
      <c r="H13" s="14">
        <f t="shared" si="5"/>
        <v>20</v>
      </c>
      <c r="I13" s="14">
        <f t="shared" si="5"/>
        <v>15</v>
      </c>
      <c r="J13" s="14">
        <f t="shared" si="5"/>
        <v>53</v>
      </c>
      <c r="K13" s="15">
        <f t="shared" si="5"/>
        <v>33</v>
      </c>
      <c r="L13" s="14">
        <f t="shared" si="5"/>
        <v>18</v>
      </c>
      <c r="M13" s="14">
        <f t="shared" si="5"/>
        <v>21</v>
      </c>
      <c r="N13" s="14">
        <f t="shared" si="5"/>
        <v>39</v>
      </c>
      <c r="O13" s="14">
        <f t="shared" si="5"/>
        <v>11</v>
      </c>
      <c r="P13" s="14">
        <f t="shared" si="5"/>
        <v>5</v>
      </c>
      <c r="Q13" s="14">
        <f t="shared" si="5"/>
        <v>10</v>
      </c>
      <c r="R13" s="14">
        <f t="shared" si="5"/>
        <v>2</v>
      </c>
    </row>
    <row r="14" spans="1:20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27" spans="1:20">
      <c r="B15" s="1">
        <v>1</v>
      </c>
      <c r="C15" s="4"/>
      <c r="D15" s="4" t="s">
        <v>28</v>
      </c>
      <c r="E15" s="4">
        <v>2</v>
      </c>
      <c r="F15" s="4">
        <v>7</v>
      </c>
      <c r="G15" s="4">
        <v>0</v>
      </c>
      <c r="H15" s="4">
        <v>1</v>
      </c>
      <c r="I15" s="4">
        <f t="shared" ref="I15:I20" si="6">E15+G15</f>
        <v>2</v>
      </c>
      <c r="J15" s="4">
        <f t="shared" ref="J15:J20" si="7">F15+H15</f>
        <v>8</v>
      </c>
      <c r="K15" s="4">
        <f t="shared" ref="K15:K20" si="8">2*E15+3*G15</f>
        <v>4</v>
      </c>
      <c r="L15" s="4">
        <v>2</v>
      </c>
      <c r="M15" s="4">
        <v>3</v>
      </c>
      <c r="N15" s="4">
        <f t="shared" ref="N15:N20" si="9">L15+M15</f>
        <v>5</v>
      </c>
      <c r="O15" s="4">
        <v>0</v>
      </c>
      <c r="P15" s="20">
        <v>4</v>
      </c>
      <c r="Q15" s="4">
        <v>3</v>
      </c>
      <c r="R15" s="4">
        <v>0</v>
      </c>
      <c r="T15" s="8" t="str">
        <f t="shared" ref="T15:T20" si="10">"{""match_id"": """&amp;$D$2&amp;""", ""pts"": "&amp;K15&amp;", ""reb"": "&amp;N15&amp;", ""ast"": "&amp;O15&amp;", ""stl"": "&amp;P15&amp;", ""blk"": "&amp;R15&amp;", ""tov"": "&amp;Q15&amp;", ""fgm"": "&amp;I15&amp;", ""fga"": "&amp;J15&amp;", ""fg2m"": "&amp;E15&amp;", ""fg2a"": "&amp;F15&amp;", ""fg3m"": "&amp;G15&amp;", ""fg3a"": "&amp;H15&amp;", ""oreb"": "&amp;L15&amp;"}"</f>
        <v>{"match_id": "g5", "pts": 4, "reb": 5, "ast": 0, "stl": 4, "blk": 0, "tov": 3, "fgm": 2, "fga": 8, "fg2m": 2, "fg2a": 7, "fg3m": 0, "fg3a": 1, "oreb": 2}</v>
      </c>
    </row>
    <row r="16" ht="27" spans="1:20">
      <c r="B16" s="1">
        <v>2</v>
      </c>
      <c r="C16" s="2">
        <v>24</v>
      </c>
      <c r="D16" s="2" t="s">
        <v>29</v>
      </c>
      <c r="E16" s="2">
        <v>1</v>
      </c>
      <c r="F16" s="2">
        <v>4</v>
      </c>
      <c r="G16" s="2">
        <v>0</v>
      </c>
      <c r="H16" s="2">
        <v>2</v>
      </c>
      <c r="I16" s="2">
        <f t="shared" si="6"/>
        <v>1</v>
      </c>
      <c r="J16" s="2">
        <f t="shared" si="7"/>
        <v>6</v>
      </c>
      <c r="K16" s="2">
        <f t="shared" si="8"/>
        <v>2</v>
      </c>
      <c r="L16" s="2">
        <v>5</v>
      </c>
      <c r="M16" s="2">
        <v>4</v>
      </c>
      <c r="N16" s="22">
        <f t="shared" si="9"/>
        <v>9</v>
      </c>
      <c r="O16" s="2">
        <v>4</v>
      </c>
      <c r="P16" s="2">
        <v>0</v>
      </c>
      <c r="Q16" s="2">
        <v>1</v>
      </c>
      <c r="R16" s="2">
        <v>0</v>
      </c>
      <c r="T16" s="8" t="str">
        <f t="shared" si="10"/>
        <v>{"match_id": "g5", "pts": 2, "reb": 9, "ast": 4, "stl": 0, "blk": 0, "tov": 1, "fgm": 1, "fga": 6, "fg2m": 1, "fg2a": 4, "fg3m": 0, "fg3a": 2, "oreb": 5}</v>
      </c>
    </row>
    <row r="17" ht="27" spans="2:20">
      <c r="B17" s="1">
        <v>3</v>
      </c>
      <c r="C17" s="4"/>
      <c r="D17" s="4" t="s">
        <v>30</v>
      </c>
      <c r="E17" s="4">
        <v>5</v>
      </c>
      <c r="F17" s="4">
        <v>15</v>
      </c>
      <c r="G17" s="4">
        <v>1</v>
      </c>
      <c r="H17" s="4">
        <v>6</v>
      </c>
      <c r="I17" s="4">
        <f t="shared" si="6"/>
        <v>6</v>
      </c>
      <c r="J17" s="4">
        <f t="shared" si="7"/>
        <v>21</v>
      </c>
      <c r="K17" s="20">
        <f t="shared" si="8"/>
        <v>13</v>
      </c>
      <c r="L17" s="4">
        <v>4</v>
      </c>
      <c r="M17" s="4">
        <v>2</v>
      </c>
      <c r="N17" s="4">
        <f t="shared" si="9"/>
        <v>6</v>
      </c>
      <c r="O17" s="4">
        <v>3</v>
      </c>
      <c r="P17" s="4">
        <v>2</v>
      </c>
      <c r="Q17" s="4">
        <v>2</v>
      </c>
      <c r="R17" s="4">
        <v>0</v>
      </c>
      <c r="T17" s="8" t="str">
        <f t="shared" si="10"/>
        <v>{"match_id": "g5", "pts": 13, "reb": 6, "ast": 3, "stl": 2, "blk": 0, "tov": 2, "fgm": 6, "fga": 21, "fg2m": 5, "fg2a": 15, "fg3m": 1, "fg3a": 6, "oreb": 4}</v>
      </c>
    </row>
    <row r="18" ht="27" spans="2:20">
      <c r="B18" s="1">
        <v>4</v>
      </c>
      <c r="C18" s="2">
        <v>5</v>
      </c>
      <c r="D18" s="2"/>
      <c r="E18" s="2">
        <v>0</v>
      </c>
      <c r="F18" s="2">
        <v>0</v>
      </c>
      <c r="G18" s="2">
        <v>0</v>
      </c>
      <c r="H18" s="2">
        <v>2</v>
      </c>
      <c r="I18" s="2">
        <f t="shared" si="6"/>
        <v>0</v>
      </c>
      <c r="J18" s="2">
        <f t="shared" si="7"/>
        <v>2</v>
      </c>
      <c r="K18" s="2">
        <f t="shared" si="8"/>
        <v>0</v>
      </c>
      <c r="L18" s="2">
        <v>0</v>
      </c>
      <c r="M18" s="2">
        <v>4</v>
      </c>
      <c r="N18" s="2">
        <f t="shared" si="9"/>
        <v>4</v>
      </c>
      <c r="O18" s="2">
        <v>0</v>
      </c>
      <c r="P18" s="2">
        <v>0</v>
      </c>
      <c r="Q18" s="2">
        <v>0</v>
      </c>
      <c r="R18" s="2">
        <v>0</v>
      </c>
      <c r="T18" s="8" t="str">
        <f t="shared" si="10"/>
        <v>{"match_id": "g5", "pts": 0, "reb": 4, "ast": 0, "stl": 0, "blk": 0, "tov": 0, "fgm": 0, "fga": 2, "fg2m": 0, "fg2a": 0, "fg3m": 0, "fg3a": 2, "oreb": 0}</v>
      </c>
    </row>
    <row r="19" customFormat="1" ht="27" spans="2:20">
      <c r="B19" s="1">
        <v>5</v>
      </c>
      <c r="C19" s="4"/>
      <c r="D19" s="4" t="s">
        <v>32</v>
      </c>
      <c r="E19" s="4">
        <v>1</v>
      </c>
      <c r="F19" s="4">
        <v>7</v>
      </c>
      <c r="G19" s="4">
        <v>2</v>
      </c>
      <c r="H19" s="4">
        <v>5</v>
      </c>
      <c r="I19" s="4">
        <f t="shared" si="6"/>
        <v>3</v>
      </c>
      <c r="J19" s="4">
        <f t="shared" si="7"/>
        <v>12</v>
      </c>
      <c r="K19" s="4">
        <f t="shared" si="8"/>
        <v>8</v>
      </c>
      <c r="L19" s="4">
        <v>2</v>
      </c>
      <c r="M19" s="4">
        <v>2</v>
      </c>
      <c r="N19" s="4">
        <f t="shared" si="9"/>
        <v>4</v>
      </c>
      <c r="O19" s="4">
        <v>1</v>
      </c>
      <c r="P19" s="4">
        <v>1</v>
      </c>
      <c r="Q19" s="4">
        <v>1</v>
      </c>
      <c r="R19" s="4">
        <v>0</v>
      </c>
      <c r="T19" s="8" t="str">
        <f t="shared" si="10"/>
        <v>{"match_id": "g5", "pts": 8, "reb": 4, "ast": 1, "stl": 1, "blk": 0, "tov": 1, "fgm": 3, "fga": 12, "fg2m": 1, "fg2a": 7, "fg3m": 2, "fg3a": 5, "oreb": 2}</v>
      </c>
    </row>
    <row r="20" customFormat="1" ht="27" spans="2:20">
      <c r="B20" s="1">
        <v>6</v>
      </c>
      <c r="C20" s="2">
        <v>49</v>
      </c>
      <c r="D20" s="2"/>
      <c r="E20" s="2">
        <v>0</v>
      </c>
      <c r="F20" s="2">
        <v>1</v>
      </c>
      <c r="G20" s="2">
        <v>0</v>
      </c>
      <c r="H20" s="2">
        <v>2</v>
      </c>
      <c r="I20" s="2">
        <f t="shared" si="6"/>
        <v>0</v>
      </c>
      <c r="J20" s="2">
        <f t="shared" si="7"/>
        <v>3</v>
      </c>
      <c r="K20" s="2">
        <f t="shared" si="8"/>
        <v>0</v>
      </c>
      <c r="L20" s="2">
        <v>0</v>
      </c>
      <c r="M20" s="2">
        <v>2</v>
      </c>
      <c r="N20" s="2">
        <f t="shared" si="9"/>
        <v>2</v>
      </c>
      <c r="O20" s="2">
        <v>0</v>
      </c>
      <c r="P20" s="2">
        <v>0</v>
      </c>
      <c r="Q20" s="2">
        <v>0</v>
      </c>
      <c r="R20" s="2">
        <v>0</v>
      </c>
      <c r="T20" s="8" t="str">
        <f t="shared" si="10"/>
        <v>{"match_id": "g5", "pts": 0, "reb": 2, "ast": 0, "stl": 0, "blk": 0, "tov": 0, "fgm": 0, "fga": 3, "fg2m": 0, "fg2a": 1, "fg3m": 0, "fg3a": 2, "oreb": 0}</v>
      </c>
    </row>
    <row r="21" ht="25.1" spans="2:20">
      <c r="B21" s="18" t="s">
        <v>19</v>
      </c>
      <c r="C21" s="18"/>
      <c r="D21" s="18"/>
      <c r="E21" s="6">
        <f t="shared" ref="E21:R21" si="11">SUM(E15:E20)</f>
        <v>9</v>
      </c>
      <c r="F21" s="6">
        <f t="shared" si="11"/>
        <v>34</v>
      </c>
      <c r="G21" s="6">
        <f t="shared" si="11"/>
        <v>3</v>
      </c>
      <c r="H21" s="6">
        <f t="shared" si="11"/>
        <v>18</v>
      </c>
      <c r="I21" s="6">
        <f t="shared" si="11"/>
        <v>12</v>
      </c>
      <c r="J21" s="6">
        <f t="shared" si="11"/>
        <v>52</v>
      </c>
      <c r="K21" s="19">
        <f t="shared" si="11"/>
        <v>27</v>
      </c>
      <c r="L21" s="6">
        <f t="shared" si="11"/>
        <v>13</v>
      </c>
      <c r="M21" s="6">
        <f t="shared" si="11"/>
        <v>17</v>
      </c>
      <c r="N21" s="6">
        <f t="shared" si="11"/>
        <v>30</v>
      </c>
      <c r="O21" s="6">
        <f t="shared" si="11"/>
        <v>8</v>
      </c>
      <c r="P21" s="6">
        <f t="shared" si="11"/>
        <v>7</v>
      </c>
      <c r="Q21" s="6">
        <f t="shared" si="11"/>
        <v>7</v>
      </c>
      <c r="R21" s="6">
        <f t="shared" si="11"/>
        <v>0</v>
      </c>
    </row>
  </sheetData>
  <mergeCells count="4">
    <mergeCell ref="B5:R5"/>
    <mergeCell ref="B13:D13"/>
    <mergeCell ref="B14:R14"/>
    <mergeCell ref="B21:D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2"/>
  <sheetViews>
    <sheetView zoomScale="70" zoomScaleNormal="70" workbookViewId="0">
      <selection activeCell="T19" sqref="T19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65.1150442477876" customWidth="1"/>
  </cols>
  <sheetData>
    <row r="2" spans="2:20">
      <c r="C2" t="s">
        <v>0</v>
      </c>
      <c r="D2" t="s">
        <v>35</v>
      </c>
      <c r="T2" t="s">
        <v>2</v>
      </c>
    </row>
    <row r="4" ht="40.5" spans="2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2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40.5" spans="2:20">
      <c r="B6" s="1">
        <v>1</v>
      </c>
      <c r="C6" s="4"/>
      <c r="D6" s="5" t="s">
        <v>30</v>
      </c>
      <c r="E6" s="5">
        <v>2</v>
      </c>
      <c r="F6" s="5">
        <v>6</v>
      </c>
      <c r="G6" s="5">
        <v>0</v>
      </c>
      <c r="H6" s="5">
        <v>5</v>
      </c>
      <c r="I6" s="4">
        <f t="shared" ref="I6:I12" si="0">E6+G6</f>
        <v>2</v>
      </c>
      <c r="J6" s="4">
        <f t="shared" ref="J6:J12" si="1">F6+H6</f>
        <v>11</v>
      </c>
      <c r="K6" s="16">
        <f t="shared" ref="K6:K12" si="2">2*E6+3*G6</f>
        <v>4</v>
      </c>
      <c r="L6" s="5">
        <v>1</v>
      </c>
      <c r="M6" s="5">
        <v>5</v>
      </c>
      <c r="N6" s="16">
        <f t="shared" ref="N6:N12" si="3">L6+M6</f>
        <v>6</v>
      </c>
      <c r="O6" s="5">
        <v>4</v>
      </c>
      <c r="P6" s="5">
        <v>2</v>
      </c>
      <c r="Q6" s="5">
        <v>0</v>
      </c>
      <c r="R6" s="5">
        <v>1</v>
      </c>
      <c r="T6" s="8" t="str">
        <f t="shared" ref="T6:T12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"g4", "pts": 4, "reb": 6, "ast": 4, "stl": 2, "blk": 1, "tov": 0, "fgm": 2, "fga": 11, "fg2m": 2, "fg2a": 6, "fg3m": 0, "fg3a": 5, "oreb": 1}</v>
      </c>
    </row>
    <row r="7" ht="40.5" spans="2:20">
      <c r="B7" s="1">
        <v>2</v>
      </c>
      <c r="C7" s="2"/>
      <c r="D7" s="17" t="s">
        <v>25</v>
      </c>
      <c r="E7" s="17">
        <v>1</v>
      </c>
      <c r="F7" s="17">
        <v>4</v>
      </c>
      <c r="G7" s="17">
        <v>0</v>
      </c>
      <c r="H7" s="17">
        <v>6</v>
      </c>
      <c r="I7" s="2">
        <f t="shared" si="0"/>
        <v>1</v>
      </c>
      <c r="J7" s="2">
        <f t="shared" si="1"/>
        <v>10</v>
      </c>
      <c r="K7" s="2">
        <f t="shared" si="2"/>
        <v>2</v>
      </c>
      <c r="L7" s="17">
        <v>0</v>
      </c>
      <c r="M7" s="17">
        <v>2</v>
      </c>
      <c r="N7" s="2">
        <f t="shared" si="3"/>
        <v>2</v>
      </c>
      <c r="O7" s="17">
        <v>3</v>
      </c>
      <c r="P7" s="17">
        <v>0</v>
      </c>
      <c r="Q7" s="17">
        <v>2</v>
      </c>
      <c r="R7" s="17">
        <v>0</v>
      </c>
      <c r="T7" s="8" t="str">
        <f t="shared" si="4"/>
        <v>{"match_id": "g4", "pts": 2, "reb": 2, "ast": 3, "stl": 0, "blk": 0, "tov": 2, "fgm": 1, "fga": 10, "fg2m": 1, "fg2a": 4, "fg3m": 0, "fg3a": 6, "oreb": 0}</v>
      </c>
    </row>
    <row r="8" ht="40.5" spans="2:20">
      <c r="B8" s="1">
        <v>3</v>
      </c>
      <c r="C8" s="4"/>
      <c r="D8" s="5" t="s">
        <v>22</v>
      </c>
      <c r="E8" s="5">
        <v>6</v>
      </c>
      <c r="F8" s="5">
        <v>13</v>
      </c>
      <c r="G8" s="5">
        <v>0</v>
      </c>
      <c r="H8" s="5">
        <v>0</v>
      </c>
      <c r="I8" s="4">
        <f t="shared" si="0"/>
        <v>6</v>
      </c>
      <c r="J8" s="4">
        <f t="shared" si="1"/>
        <v>13</v>
      </c>
      <c r="K8" s="16">
        <f t="shared" si="2"/>
        <v>12</v>
      </c>
      <c r="L8" s="5">
        <v>3</v>
      </c>
      <c r="M8" s="5">
        <v>7</v>
      </c>
      <c r="N8" s="16">
        <f t="shared" si="3"/>
        <v>10</v>
      </c>
      <c r="O8" s="5">
        <v>0</v>
      </c>
      <c r="P8" s="5">
        <v>0</v>
      </c>
      <c r="Q8" s="5">
        <v>0</v>
      </c>
      <c r="R8" s="5">
        <v>0</v>
      </c>
      <c r="T8" s="8" t="str">
        <f t="shared" si="4"/>
        <v>{"match_id": "g4", "pts": 12, "reb": 10, "ast": 0, "stl": 0, "blk": 0, "tov": 0, "fgm": 6, "fga": 13, "fg2m": 6, "fg2a": 13, "fg3m": 0, "fg3a": 0, "oreb": 3}</v>
      </c>
    </row>
    <row r="9" customFormat="1" ht="40.5" spans="2:20">
      <c r="B9" s="1">
        <v>4</v>
      </c>
      <c r="C9" s="11"/>
      <c r="D9" s="12" t="s">
        <v>27</v>
      </c>
      <c r="E9" s="12">
        <v>0</v>
      </c>
      <c r="F9" s="12">
        <v>1</v>
      </c>
      <c r="G9" s="12">
        <v>0</v>
      </c>
      <c r="H9" s="12">
        <v>0</v>
      </c>
      <c r="I9" s="2">
        <f t="shared" si="0"/>
        <v>0</v>
      </c>
      <c r="J9" s="2">
        <f t="shared" si="1"/>
        <v>1</v>
      </c>
      <c r="K9" s="2">
        <f t="shared" si="2"/>
        <v>0</v>
      </c>
      <c r="L9" s="12">
        <v>0</v>
      </c>
      <c r="M9" s="12">
        <v>3</v>
      </c>
      <c r="N9" s="2">
        <f t="shared" si="3"/>
        <v>3</v>
      </c>
      <c r="O9" s="12">
        <v>0</v>
      </c>
      <c r="P9" s="12">
        <v>0</v>
      </c>
      <c r="Q9" s="12">
        <v>1</v>
      </c>
      <c r="R9" s="12">
        <v>0</v>
      </c>
      <c r="T9" s="8" t="str">
        <f t="shared" si="4"/>
        <v>{"match_id": "g4", "pts": 0, "reb": 3, "ast": 0, "stl": 0, "blk": 0, "tov": 1, "fgm": 0, "fga": 1, "fg2m": 0, "fg2a": 1, "fg3m": 0, "fg3a": 0, "oreb": 0}</v>
      </c>
    </row>
    <row r="10" customFormat="1" ht="40.5" spans="2:20">
      <c r="B10" s="1">
        <v>5</v>
      </c>
      <c r="C10" s="4"/>
      <c r="D10" s="5" t="s">
        <v>23</v>
      </c>
      <c r="E10" s="5">
        <v>0</v>
      </c>
      <c r="F10" s="5">
        <v>1</v>
      </c>
      <c r="G10" s="5">
        <v>1</v>
      </c>
      <c r="H10" s="5">
        <v>1</v>
      </c>
      <c r="I10" s="4">
        <f t="shared" si="0"/>
        <v>1</v>
      </c>
      <c r="J10" s="4">
        <f t="shared" si="1"/>
        <v>2</v>
      </c>
      <c r="K10" s="16">
        <f t="shared" si="2"/>
        <v>3</v>
      </c>
      <c r="L10" s="5">
        <v>0</v>
      </c>
      <c r="M10" s="5">
        <v>2</v>
      </c>
      <c r="N10" s="16">
        <f t="shared" si="3"/>
        <v>2</v>
      </c>
      <c r="O10" s="5">
        <v>0</v>
      </c>
      <c r="P10" s="5">
        <v>1</v>
      </c>
      <c r="Q10" s="5">
        <v>0</v>
      </c>
      <c r="R10" s="5">
        <v>0</v>
      </c>
      <c r="T10" s="8" t="str">
        <f t="shared" si="4"/>
        <v>{"match_id": "g4", "pts": 3, "reb": 2, "ast": 0, "stl": 1, "blk": 0, "tov": 0, "fgm": 1, "fga": 2, "fg2m": 0, "fg2a": 1, "fg3m": 1, "fg3a": 1, "oreb": 0}</v>
      </c>
    </row>
    <row r="11" customFormat="1" ht="40.5" spans="2:20">
      <c r="B11" s="1">
        <v>6</v>
      </c>
      <c r="C11" s="11"/>
      <c r="D11" s="12" t="s">
        <v>24</v>
      </c>
      <c r="E11" s="12">
        <v>0</v>
      </c>
      <c r="F11" s="12">
        <v>4</v>
      </c>
      <c r="G11" s="12">
        <v>0</v>
      </c>
      <c r="H11" s="12">
        <v>0</v>
      </c>
      <c r="I11" s="2">
        <f t="shared" si="0"/>
        <v>0</v>
      </c>
      <c r="J11" s="2">
        <f t="shared" si="1"/>
        <v>4</v>
      </c>
      <c r="K11" s="2">
        <f t="shared" si="2"/>
        <v>0</v>
      </c>
      <c r="L11" s="12">
        <v>0</v>
      </c>
      <c r="M11" s="12">
        <v>1</v>
      </c>
      <c r="N11" s="2">
        <f t="shared" si="3"/>
        <v>1</v>
      </c>
      <c r="O11" s="12">
        <v>1</v>
      </c>
      <c r="P11" s="12">
        <v>1</v>
      </c>
      <c r="Q11" s="12">
        <v>0</v>
      </c>
      <c r="R11" s="12">
        <v>0</v>
      </c>
      <c r="T11" s="8" t="str">
        <f t="shared" si="4"/>
        <v>{"match_id": "g4", "pts": 0, "reb": 1, "ast": 1, "stl": 1, "blk": 0, "tov": 0, "fgm": 0, "fga": 4, "fg2m": 0, "fg2a": 4, "fg3m": 0, "fg3a": 0, "oreb": 0}</v>
      </c>
    </row>
    <row r="12" customFormat="1" ht="40.5" spans="2:20">
      <c r="B12" s="1">
        <v>7</v>
      </c>
      <c r="C12" s="4"/>
      <c r="D12" s="5" t="s">
        <v>21</v>
      </c>
      <c r="E12" s="5">
        <v>3</v>
      </c>
      <c r="F12" s="5">
        <v>5</v>
      </c>
      <c r="G12" s="5">
        <v>0</v>
      </c>
      <c r="H12" s="5">
        <v>0</v>
      </c>
      <c r="I12" s="4">
        <f t="shared" si="0"/>
        <v>3</v>
      </c>
      <c r="J12" s="4">
        <f t="shared" si="1"/>
        <v>5</v>
      </c>
      <c r="K12" s="16">
        <f t="shared" si="2"/>
        <v>6</v>
      </c>
      <c r="L12" s="5">
        <v>3</v>
      </c>
      <c r="M12" s="5">
        <v>5</v>
      </c>
      <c r="N12" s="16">
        <f t="shared" si="3"/>
        <v>8</v>
      </c>
      <c r="O12" s="5">
        <v>0</v>
      </c>
      <c r="P12" s="5">
        <v>0</v>
      </c>
      <c r="Q12" s="5">
        <v>1</v>
      </c>
      <c r="R12" s="5">
        <v>0</v>
      </c>
      <c r="T12" s="8" t="str">
        <f t="shared" si="4"/>
        <v>{"match_id": "g4", "pts": 6, "reb": 8, "ast": 0, "stl": 0, "blk": 0, "tov": 1, "fgm": 3, "fga": 5, "fg2m": 3, "fg2a": 5, "fg3m": 0, "fg3a": 0, "oreb": 3}</v>
      </c>
    </row>
    <row r="13" ht="25.1" spans="2:20">
      <c r="B13" s="13" t="s">
        <v>19</v>
      </c>
      <c r="C13" s="13"/>
      <c r="D13" s="13"/>
      <c r="E13" s="14">
        <f t="shared" ref="E13:R13" si="5">SUM(E6:E12)</f>
        <v>12</v>
      </c>
      <c r="F13" s="14">
        <f t="shared" si="5"/>
        <v>34</v>
      </c>
      <c r="G13" s="14">
        <f t="shared" si="5"/>
        <v>1</v>
      </c>
      <c r="H13" s="14">
        <f t="shared" si="5"/>
        <v>12</v>
      </c>
      <c r="I13" s="14">
        <f t="shared" si="5"/>
        <v>13</v>
      </c>
      <c r="J13" s="14">
        <f t="shared" si="5"/>
        <v>46</v>
      </c>
      <c r="K13" s="15">
        <f t="shared" si="5"/>
        <v>27</v>
      </c>
      <c r="L13" s="14">
        <f t="shared" si="5"/>
        <v>7</v>
      </c>
      <c r="M13" s="14">
        <f t="shared" si="5"/>
        <v>25</v>
      </c>
      <c r="N13" s="14">
        <f t="shared" si="5"/>
        <v>32</v>
      </c>
      <c r="O13" s="14">
        <f t="shared" si="5"/>
        <v>8</v>
      </c>
      <c r="P13" s="14">
        <f t="shared" si="5"/>
        <v>4</v>
      </c>
      <c r="Q13" s="14">
        <f t="shared" si="5"/>
        <v>4</v>
      </c>
      <c r="R13" s="14">
        <f t="shared" si="5"/>
        <v>1</v>
      </c>
    </row>
    <row r="14" spans="2:20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40.5" spans="2:20">
      <c r="B15" s="1">
        <v>1</v>
      </c>
      <c r="C15" s="5" t="s">
        <v>36</v>
      </c>
      <c r="D15" s="5" t="s">
        <v>37</v>
      </c>
      <c r="E15" s="5">
        <v>0</v>
      </c>
      <c r="F15" s="5">
        <v>0</v>
      </c>
      <c r="G15" s="5">
        <v>0</v>
      </c>
      <c r="H15" s="5">
        <v>0</v>
      </c>
      <c r="I15" s="4">
        <f t="shared" ref="I15:I21" si="6">E15+G15</f>
        <v>0</v>
      </c>
      <c r="J15" s="4">
        <f t="shared" ref="J15:J21" si="7">F15+H15</f>
        <v>0</v>
      </c>
      <c r="K15" s="16">
        <f t="shared" ref="K15:K21" si="8">2*E15+3*G15</f>
        <v>0</v>
      </c>
      <c r="L15" s="5">
        <v>1</v>
      </c>
      <c r="M15" s="5">
        <v>1</v>
      </c>
      <c r="N15" s="16">
        <f t="shared" ref="N15:N21" si="9">L15+M15</f>
        <v>2</v>
      </c>
      <c r="O15" s="5">
        <v>0</v>
      </c>
      <c r="P15" s="5">
        <v>2</v>
      </c>
      <c r="Q15" s="5">
        <v>0</v>
      </c>
      <c r="R15" s="5">
        <v>0</v>
      </c>
      <c r="T15" s="8" t="str">
        <f t="shared" ref="T15:T21" si="10">"{""match_id"": """&amp;$D$2&amp;""", ""pts"": "&amp;K15&amp;", ""reb"": "&amp;N15&amp;", ""ast"": "&amp;O15&amp;", ""stl"": "&amp;P15&amp;", ""blk"": "&amp;R15&amp;", ""tov"": "&amp;Q15&amp;", ""fgm"": "&amp;I15&amp;", ""fga"": "&amp;J15&amp;", ""fg2m"": "&amp;E15&amp;", ""fg2a"": "&amp;F15&amp;", ""fg3m"": "&amp;G15&amp;", ""fg3a"": "&amp;H15&amp;", ""oreb"": "&amp;L15&amp;"}"</f>
        <v>{"match_id": "g4", "pts": 0, "reb": 2, "ast": 0, "stl": 2, "blk": 0, "tov": 0, "fgm": 0, "fga": 0, "fg2m": 0, "fg2a": 0, "fg3m": 0, "fg3a": 0, "oreb": 1}</v>
      </c>
    </row>
    <row r="16" ht="40.5" spans="2:20">
      <c r="B16" s="1">
        <v>2</v>
      </c>
      <c r="C16" s="17" t="s">
        <v>38</v>
      </c>
      <c r="D16" s="17"/>
      <c r="E16" s="17">
        <v>0</v>
      </c>
      <c r="F16" s="17">
        <v>1</v>
      </c>
      <c r="G16" s="17">
        <v>1</v>
      </c>
      <c r="H16" s="17">
        <v>3</v>
      </c>
      <c r="I16" s="2">
        <f t="shared" si="6"/>
        <v>1</v>
      </c>
      <c r="J16" s="2">
        <f t="shared" si="7"/>
        <v>4</v>
      </c>
      <c r="K16" s="2">
        <f t="shared" si="8"/>
        <v>3</v>
      </c>
      <c r="L16" s="17">
        <v>0</v>
      </c>
      <c r="M16" s="17">
        <v>2</v>
      </c>
      <c r="N16" s="2">
        <f t="shared" si="9"/>
        <v>2</v>
      </c>
      <c r="O16" s="17">
        <v>1</v>
      </c>
      <c r="P16" s="17">
        <v>0</v>
      </c>
      <c r="Q16" s="17">
        <v>0</v>
      </c>
      <c r="R16" s="17">
        <v>0</v>
      </c>
      <c r="T16" s="8" t="str">
        <f t="shared" si="10"/>
        <v>{"match_id": "g4", "pts": 3, "reb": 2, "ast": 1, "stl": 0, "blk": 0, "tov": 0, "fgm": 1, "fga": 4, "fg2m": 0, "fg2a": 1, "fg3m": 1, "fg3a": 3, "oreb": 0}</v>
      </c>
    </row>
    <row r="17" ht="40.5" spans="2:20">
      <c r="B17" s="1">
        <v>3</v>
      </c>
      <c r="C17" s="5"/>
      <c r="D17" s="5" t="s">
        <v>39</v>
      </c>
      <c r="E17" s="5">
        <v>1</v>
      </c>
      <c r="F17" s="5">
        <v>5</v>
      </c>
      <c r="G17" s="5">
        <v>2</v>
      </c>
      <c r="H17" s="5">
        <v>7</v>
      </c>
      <c r="I17" s="4">
        <f t="shared" si="6"/>
        <v>3</v>
      </c>
      <c r="J17" s="4">
        <f t="shared" si="7"/>
        <v>12</v>
      </c>
      <c r="K17" s="16">
        <f t="shared" si="8"/>
        <v>8</v>
      </c>
      <c r="L17" s="5">
        <v>0</v>
      </c>
      <c r="M17" s="5">
        <v>4</v>
      </c>
      <c r="N17" s="16">
        <f t="shared" si="9"/>
        <v>4</v>
      </c>
      <c r="O17" s="5">
        <v>2</v>
      </c>
      <c r="P17" s="5">
        <v>1</v>
      </c>
      <c r="Q17" s="5">
        <v>0</v>
      </c>
      <c r="R17" s="5">
        <v>0</v>
      </c>
      <c r="T17" s="8" t="str">
        <f t="shared" si="10"/>
        <v>{"match_id": "g4", "pts": 8, "reb": 4, "ast": 2, "stl": 1, "blk": 0, "tov": 0, "fgm": 3, "fga": 12, "fg2m": 1, "fg2a": 5, "fg3m": 2, "fg3a": 7, "oreb": 0}</v>
      </c>
    </row>
    <row r="18" ht="40.5" spans="2:20">
      <c r="B18" s="1">
        <v>4</v>
      </c>
      <c r="C18" s="17" t="s">
        <v>40</v>
      </c>
      <c r="D18" s="17"/>
      <c r="E18" s="17">
        <v>2</v>
      </c>
      <c r="F18" s="17">
        <v>5</v>
      </c>
      <c r="G18" s="17">
        <v>0</v>
      </c>
      <c r="H18" s="17">
        <v>4</v>
      </c>
      <c r="I18" s="2">
        <f t="shared" si="6"/>
        <v>2</v>
      </c>
      <c r="J18" s="2">
        <f t="shared" si="7"/>
        <v>9</v>
      </c>
      <c r="K18" s="2">
        <f t="shared" si="8"/>
        <v>4</v>
      </c>
      <c r="L18" s="17">
        <v>0</v>
      </c>
      <c r="M18" s="17">
        <v>2</v>
      </c>
      <c r="N18" s="2">
        <f t="shared" si="9"/>
        <v>2</v>
      </c>
      <c r="O18" s="17">
        <v>0</v>
      </c>
      <c r="P18" s="17">
        <v>0</v>
      </c>
      <c r="Q18" s="17">
        <v>1</v>
      </c>
      <c r="R18" s="17">
        <v>0</v>
      </c>
      <c r="T18" s="8" t="str">
        <f t="shared" si="10"/>
        <v>{"match_id": "g4", "pts": 4, "reb": 2, "ast": 0, "stl": 0, "blk": 0, "tov": 1, "fgm": 2, "fga": 9, "fg2m": 2, "fg2a": 5, "fg3m": 0, "fg3a": 4, "oreb": 0}</v>
      </c>
    </row>
    <row r="19" customFormat="1" ht="40.5" spans="2:20">
      <c r="B19" s="1">
        <v>5</v>
      </c>
      <c r="C19" s="5"/>
      <c r="D19" s="5" t="s">
        <v>41</v>
      </c>
      <c r="E19" s="5">
        <v>1</v>
      </c>
      <c r="F19" s="5">
        <v>4</v>
      </c>
      <c r="G19" s="5">
        <v>0</v>
      </c>
      <c r="H19" s="5">
        <v>1</v>
      </c>
      <c r="I19" s="4">
        <f t="shared" si="6"/>
        <v>1</v>
      </c>
      <c r="J19" s="4">
        <f t="shared" si="7"/>
        <v>5</v>
      </c>
      <c r="K19" s="16">
        <f t="shared" si="8"/>
        <v>2</v>
      </c>
      <c r="L19" s="5">
        <v>0</v>
      </c>
      <c r="M19" s="5">
        <v>3</v>
      </c>
      <c r="N19" s="16">
        <f t="shared" si="9"/>
        <v>3</v>
      </c>
      <c r="O19" s="5">
        <v>0</v>
      </c>
      <c r="P19" s="5">
        <v>0</v>
      </c>
      <c r="Q19" s="5">
        <v>1</v>
      </c>
      <c r="R19" s="5">
        <v>0</v>
      </c>
      <c r="T19" s="8" t="str">
        <f t="shared" si="10"/>
        <v>{"match_id": "g4", "pts": 2, "reb": 3, "ast": 0, "stl": 0, "blk": 0, "tov": 1, "fgm": 1, "fga": 5, "fg2m": 1, "fg2a": 4, "fg3m": 0, "fg3a": 1, "oreb": 0}</v>
      </c>
    </row>
    <row r="20" customFormat="1" ht="40.5" spans="2:20">
      <c r="B20" s="1">
        <v>6</v>
      </c>
      <c r="C20" s="17"/>
      <c r="D20" s="17" t="s">
        <v>42</v>
      </c>
      <c r="E20" s="17">
        <v>1</v>
      </c>
      <c r="F20" s="17">
        <v>3</v>
      </c>
      <c r="G20" s="17">
        <v>0</v>
      </c>
      <c r="H20" s="17">
        <v>4</v>
      </c>
      <c r="I20" s="2">
        <f t="shared" si="6"/>
        <v>1</v>
      </c>
      <c r="J20" s="2">
        <f t="shared" si="7"/>
        <v>7</v>
      </c>
      <c r="K20" s="2">
        <f t="shared" si="8"/>
        <v>2</v>
      </c>
      <c r="L20" s="17">
        <v>2</v>
      </c>
      <c r="M20" s="17">
        <v>7</v>
      </c>
      <c r="N20" s="2">
        <f t="shared" si="9"/>
        <v>9</v>
      </c>
      <c r="O20" s="17">
        <v>2</v>
      </c>
      <c r="P20" s="17">
        <v>0</v>
      </c>
      <c r="Q20" s="17">
        <v>2</v>
      </c>
      <c r="R20" s="17">
        <v>0</v>
      </c>
      <c r="T20" s="8" t="str">
        <f t="shared" si="10"/>
        <v>{"match_id": "g4", "pts": 2, "reb": 9, "ast": 2, "stl": 0, "blk": 0, "tov": 2, "fgm": 1, "fga": 7, "fg2m": 1, "fg2a": 3, "fg3m": 0, "fg3a": 4, "oreb": 2}</v>
      </c>
    </row>
    <row r="21" customFormat="1" ht="40.5" spans="2:20">
      <c r="B21" s="1">
        <v>7</v>
      </c>
      <c r="C21" s="4"/>
      <c r="D21" s="4" t="s">
        <v>28</v>
      </c>
      <c r="E21" s="5">
        <v>0</v>
      </c>
      <c r="F21" s="5">
        <v>1</v>
      </c>
      <c r="G21" s="5">
        <v>1</v>
      </c>
      <c r="H21" s="5">
        <v>1</v>
      </c>
      <c r="I21" s="4">
        <f t="shared" si="6"/>
        <v>1</v>
      </c>
      <c r="J21" s="4">
        <f t="shared" si="7"/>
        <v>2</v>
      </c>
      <c r="K21" s="16">
        <f t="shared" si="8"/>
        <v>3</v>
      </c>
      <c r="L21" s="5">
        <v>1</v>
      </c>
      <c r="M21" s="5">
        <v>1</v>
      </c>
      <c r="N21" s="16">
        <f t="shared" si="9"/>
        <v>2</v>
      </c>
      <c r="O21" s="5">
        <v>2</v>
      </c>
      <c r="P21" s="5">
        <v>1</v>
      </c>
      <c r="Q21" s="5">
        <v>2</v>
      </c>
      <c r="R21" s="5">
        <v>0</v>
      </c>
      <c r="T21" s="8" t="str">
        <f t="shared" si="10"/>
        <v>{"match_id": "g4", "pts": 3, "reb": 2, "ast": 2, "stl": 1, "blk": 0, "tov": 2, "fgm": 1, "fga": 2, "fg2m": 0, "fg2a": 1, "fg3m": 1, "fg3a": 1, "oreb": 1}</v>
      </c>
    </row>
    <row r="22" ht="25.1" spans="2:20">
      <c r="B22" s="18" t="s">
        <v>19</v>
      </c>
      <c r="C22" s="18"/>
      <c r="D22" s="18"/>
      <c r="E22" s="6">
        <f t="shared" ref="E22:R22" si="11">SUM(E15:E21)</f>
        <v>5</v>
      </c>
      <c r="F22" s="6">
        <f t="shared" si="11"/>
        <v>19</v>
      </c>
      <c r="G22" s="6">
        <f t="shared" si="11"/>
        <v>4</v>
      </c>
      <c r="H22" s="6">
        <f t="shared" si="11"/>
        <v>20</v>
      </c>
      <c r="I22" s="6">
        <f t="shared" si="11"/>
        <v>9</v>
      </c>
      <c r="J22" s="6">
        <f t="shared" si="11"/>
        <v>39</v>
      </c>
      <c r="K22" s="19">
        <f t="shared" si="11"/>
        <v>22</v>
      </c>
      <c r="L22" s="6">
        <f t="shared" si="11"/>
        <v>4</v>
      </c>
      <c r="M22" s="6">
        <f t="shared" si="11"/>
        <v>20</v>
      </c>
      <c r="N22" s="6">
        <f t="shared" si="11"/>
        <v>24</v>
      </c>
      <c r="O22" s="6">
        <f t="shared" si="11"/>
        <v>7</v>
      </c>
      <c r="P22" s="6">
        <f t="shared" si="11"/>
        <v>4</v>
      </c>
      <c r="Q22" s="6">
        <f t="shared" si="11"/>
        <v>6</v>
      </c>
      <c r="R22" s="6">
        <f t="shared" si="11"/>
        <v>0</v>
      </c>
    </row>
  </sheetData>
  <mergeCells count="4">
    <mergeCell ref="B5:R5"/>
    <mergeCell ref="B13:D13"/>
    <mergeCell ref="B14:R14"/>
    <mergeCell ref="B22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2"/>
  <sheetViews>
    <sheetView zoomScale="70" zoomScaleNormal="70" workbookViewId="0">
      <selection activeCell="T19" sqref="T19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65.1150442477876" customWidth="1"/>
  </cols>
  <sheetData>
    <row r="2" spans="2:20">
      <c r="C2" t="s">
        <v>0</v>
      </c>
      <c r="D2" t="s">
        <v>43</v>
      </c>
      <c r="T2" t="s">
        <v>2</v>
      </c>
    </row>
    <row r="4" ht="40.5" spans="2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2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40.5" spans="2:20">
      <c r="B6" s="1">
        <v>1</v>
      </c>
      <c r="C6" s="4"/>
      <c r="D6" s="5" t="s">
        <v>30</v>
      </c>
      <c r="E6" s="5">
        <v>2</v>
      </c>
      <c r="F6" s="5">
        <v>10</v>
      </c>
      <c r="G6" s="5">
        <v>1</v>
      </c>
      <c r="H6" s="5">
        <v>4</v>
      </c>
      <c r="I6" s="4">
        <f t="shared" ref="I6:I15" si="0">E6+G6</f>
        <v>3</v>
      </c>
      <c r="J6" s="4">
        <f t="shared" ref="J6:J15" si="1">F6+H6</f>
        <v>14</v>
      </c>
      <c r="K6" s="16">
        <f t="shared" ref="K6:K15" si="2">2*E6+3*G6</f>
        <v>7</v>
      </c>
      <c r="L6" s="5">
        <v>2</v>
      </c>
      <c r="M6" s="5">
        <v>4</v>
      </c>
      <c r="N6" s="16">
        <f t="shared" ref="N6:N15" si="3">L6+M6</f>
        <v>6</v>
      </c>
      <c r="O6" s="5">
        <v>6</v>
      </c>
      <c r="P6" s="5">
        <v>2</v>
      </c>
      <c r="Q6" s="5">
        <v>3</v>
      </c>
      <c r="R6" s="5">
        <v>1</v>
      </c>
      <c r="T6" s="8" t="str">
        <f t="shared" ref="T6:T15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"g3", "pts": 7, "reb": 6, "ast": 6, "stl": 2, "blk": 1, "tov": 3, "fgm": 3, "fga": 14, "fg2m": 2, "fg2a": 10, "fg3m": 1, "fg3a": 4, "oreb": 2}</v>
      </c>
    </row>
    <row r="7" ht="40.5" spans="2:20">
      <c r="B7" s="1">
        <v>2</v>
      </c>
      <c r="C7" s="2"/>
      <c r="D7" s="17" t="s">
        <v>25</v>
      </c>
      <c r="E7" s="17">
        <v>0</v>
      </c>
      <c r="F7" s="17">
        <v>3</v>
      </c>
      <c r="G7" s="17">
        <v>4</v>
      </c>
      <c r="H7" s="17">
        <v>10</v>
      </c>
      <c r="I7" s="2">
        <f t="shared" si="0"/>
        <v>4</v>
      </c>
      <c r="J7" s="2">
        <f t="shared" si="1"/>
        <v>13</v>
      </c>
      <c r="K7" s="2">
        <f t="shared" si="2"/>
        <v>12</v>
      </c>
      <c r="L7" s="17">
        <v>1</v>
      </c>
      <c r="M7" s="17">
        <v>0</v>
      </c>
      <c r="N7" s="2">
        <f t="shared" si="3"/>
        <v>1</v>
      </c>
      <c r="O7" s="17">
        <v>2</v>
      </c>
      <c r="P7" s="17">
        <v>0</v>
      </c>
      <c r="Q7" s="17">
        <v>3</v>
      </c>
      <c r="R7" s="17">
        <v>0</v>
      </c>
      <c r="T7" s="8" t="str">
        <f t="shared" si="4"/>
        <v>{"match_id": "g3", "pts": 12, "reb": 1, "ast": 2, "stl": 0, "blk": 0, "tov": 3, "fgm": 4, "fga": 13, "fg2m": 0, "fg2a": 3, "fg3m": 4, "fg3a": 10, "oreb": 1}</v>
      </c>
    </row>
    <row r="8" ht="40.5" spans="2:20">
      <c r="B8" s="1">
        <v>3</v>
      </c>
      <c r="C8" s="4"/>
      <c r="D8" s="5" t="s">
        <v>22</v>
      </c>
      <c r="E8" s="5">
        <v>9</v>
      </c>
      <c r="F8" s="5">
        <v>15</v>
      </c>
      <c r="G8" s="5">
        <v>0</v>
      </c>
      <c r="H8" s="5">
        <v>0</v>
      </c>
      <c r="I8" s="4">
        <f t="shared" si="0"/>
        <v>9</v>
      </c>
      <c r="J8" s="4">
        <f t="shared" si="1"/>
        <v>15</v>
      </c>
      <c r="K8" s="16">
        <f t="shared" si="2"/>
        <v>18</v>
      </c>
      <c r="L8" s="5">
        <v>7</v>
      </c>
      <c r="M8" s="5">
        <v>6</v>
      </c>
      <c r="N8" s="16">
        <f t="shared" si="3"/>
        <v>13</v>
      </c>
      <c r="O8" s="5">
        <v>0</v>
      </c>
      <c r="P8" s="5">
        <v>0</v>
      </c>
      <c r="Q8" s="5">
        <v>2</v>
      </c>
      <c r="R8" s="5">
        <v>0</v>
      </c>
      <c r="T8" s="8" t="str">
        <f t="shared" si="4"/>
        <v>{"match_id": "g3", "pts": 18, "reb": 13, "ast": 0, "stl": 0, "blk": 0, "tov": 2, "fgm": 9, "fga": 15, "fg2m": 9, "fg2a": 15, "fg3m": 0, "fg3a": 0, "oreb": 7}</v>
      </c>
    </row>
    <row r="9" customFormat="1" ht="40.5" spans="2:20">
      <c r="B9" s="1">
        <v>4</v>
      </c>
      <c r="C9" s="11"/>
      <c r="D9" s="12" t="s">
        <v>27</v>
      </c>
      <c r="E9" s="12">
        <v>0</v>
      </c>
      <c r="F9" s="12">
        <v>1</v>
      </c>
      <c r="G9" s="12">
        <v>0</v>
      </c>
      <c r="H9" s="12">
        <v>1</v>
      </c>
      <c r="I9" s="2">
        <f t="shared" si="0"/>
        <v>0</v>
      </c>
      <c r="J9" s="2">
        <f t="shared" si="1"/>
        <v>2</v>
      </c>
      <c r="K9" s="2">
        <f t="shared" si="2"/>
        <v>0</v>
      </c>
      <c r="L9" s="12">
        <v>0</v>
      </c>
      <c r="M9" s="12">
        <v>2</v>
      </c>
      <c r="N9" s="2">
        <f t="shared" si="3"/>
        <v>2</v>
      </c>
      <c r="O9" s="12">
        <v>0</v>
      </c>
      <c r="P9" s="12">
        <v>2</v>
      </c>
      <c r="Q9" s="12">
        <v>3</v>
      </c>
      <c r="R9" s="12">
        <v>1</v>
      </c>
      <c r="T9" s="8" t="str">
        <f t="shared" si="4"/>
        <v>{"match_id": "g3", "pts": 0, "reb": 2, "ast": 0, "stl": 2, "blk": 1, "tov": 3, "fgm": 0, "fga": 2, "fg2m": 0, "fg2a": 1, "fg3m": 0, "fg3a": 1, "oreb": 0}</v>
      </c>
    </row>
    <row r="10" customFormat="1" ht="40.5" spans="2:20">
      <c r="B10" s="1">
        <v>5</v>
      </c>
      <c r="C10" s="4"/>
      <c r="D10" s="5" t="s">
        <v>23</v>
      </c>
      <c r="E10" s="5">
        <v>1</v>
      </c>
      <c r="F10" s="5">
        <v>1</v>
      </c>
      <c r="G10" s="5">
        <v>1</v>
      </c>
      <c r="H10" s="5">
        <v>2</v>
      </c>
      <c r="I10" s="4">
        <f t="shared" si="0"/>
        <v>2</v>
      </c>
      <c r="J10" s="4">
        <f t="shared" si="1"/>
        <v>3</v>
      </c>
      <c r="K10" s="16">
        <f t="shared" si="2"/>
        <v>5</v>
      </c>
      <c r="L10" s="5">
        <v>1</v>
      </c>
      <c r="M10" s="5">
        <v>2</v>
      </c>
      <c r="N10" s="16">
        <f t="shared" si="3"/>
        <v>3</v>
      </c>
      <c r="O10" s="5">
        <v>3</v>
      </c>
      <c r="P10" s="5">
        <v>2</v>
      </c>
      <c r="Q10" s="5">
        <v>1</v>
      </c>
      <c r="R10" s="5">
        <v>0</v>
      </c>
      <c r="T10" s="8" t="str">
        <f t="shared" si="4"/>
        <v>{"match_id": "g3", "pts": 5, "reb": 3, "ast": 3, "stl": 2, "blk": 0, "tov": 1, "fgm": 2, "fga": 3, "fg2m": 1, "fg2a": 1, "fg3m": 1, "fg3a": 2, "oreb": 1}</v>
      </c>
    </row>
    <row r="11" customFormat="1" ht="40.5" spans="2:20">
      <c r="B11" s="1">
        <v>6</v>
      </c>
      <c r="C11" s="11"/>
      <c r="D11" s="12" t="s">
        <v>24</v>
      </c>
      <c r="E11" s="12">
        <v>0</v>
      </c>
      <c r="F11" s="12">
        <v>3</v>
      </c>
      <c r="G11" s="12">
        <v>0</v>
      </c>
      <c r="H11" s="12">
        <v>0</v>
      </c>
      <c r="I11" s="2">
        <f t="shared" si="0"/>
        <v>0</v>
      </c>
      <c r="J11" s="2">
        <f t="shared" si="1"/>
        <v>3</v>
      </c>
      <c r="K11" s="2">
        <f t="shared" si="2"/>
        <v>0</v>
      </c>
      <c r="L11" s="12">
        <v>0</v>
      </c>
      <c r="M11" s="12">
        <v>1</v>
      </c>
      <c r="N11" s="2">
        <f t="shared" si="3"/>
        <v>1</v>
      </c>
      <c r="O11" s="12">
        <v>0</v>
      </c>
      <c r="P11" s="12">
        <v>0</v>
      </c>
      <c r="Q11" s="12">
        <v>0</v>
      </c>
      <c r="R11" s="12">
        <v>0</v>
      </c>
      <c r="T11" s="8" t="str">
        <f t="shared" si="4"/>
        <v>{"match_id": "g3", "pts": 0, "reb": 1, "ast": 0, "stl": 0, "blk": 0, "tov": 0, "fgm": 0, "fga": 3, "fg2m": 0, "fg2a": 3, "fg3m": 0, "fg3a": 0, "oreb": 0}</v>
      </c>
    </row>
    <row r="12" customFormat="1" ht="40.5" spans="2:20">
      <c r="B12" s="1">
        <v>7</v>
      </c>
      <c r="C12" s="4"/>
      <c r="D12" s="5" t="s">
        <v>21</v>
      </c>
      <c r="E12" s="5">
        <v>2</v>
      </c>
      <c r="F12" s="5">
        <v>7</v>
      </c>
      <c r="G12" s="5">
        <v>0</v>
      </c>
      <c r="H12" s="5">
        <v>0</v>
      </c>
      <c r="I12" s="4">
        <f t="shared" si="0"/>
        <v>2</v>
      </c>
      <c r="J12" s="4">
        <f t="shared" si="1"/>
        <v>7</v>
      </c>
      <c r="K12" s="16">
        <f t="shared" si="2"/>
        <v>4</v>
      </c>
      <c r="L12" s="5">
        <v>5</v>
      </c>
      <c r="M12" s="5">
        <v>2</v>
      </c>
      <c r="N12" s="16">
        <f t="shared" si="3"/>
        <v>7</v>
      </c>
      <c r="O12" s="5">
        <v>0</v>
      </c>
      <c r="P12" s="5">
        <v>1</v>
      </c>
      <c r="Q12" s="5">
        <v>2</v>
      </c>
      <c r="R12" s="5">
        <v>0</v>
      </c>
      <c r="T12" s="8" t="str">
        <f t="shared" si="4"/>
        <v>{"match_id": "g3", "pts": 4, "reb": 7, "ast": 0, "stl": 1, "blk": 0, "tov": 2, "fgm": 2, "fga": 7, "fg2m": 2, "fg2a": 7, "fg3m": 0, "fg3a": 0, "oreb": 5}</v>
      </c>
    </row>
    <row r="13" ht="25.1" spans="2:20">
      <c r="B13" s="13" t="s">
        <v>19</v>
      </c>
      <c r="C13" s="13"/>
      <c r="D13" s="13"/>
      <c r="E13" s="14">
        <f t="shared" ref="E13:R13" si="5">SUM(E6:E12)</f>
        <v>14</v>
      </c>
      <c r="F13" s="14">
        <f t="shared" si="5"/>
        <v>40</v>
      </c>
      <c r="G13" s="14">
        <f t="shared" si="5"/>
        <v>6</v>
      </c>
      <c r="H13" s="14">
        <f t="shared" si="5"/>
        <v>17</v>
      </c>
      <c r="I13" s="14">
        <f t="shared" si="5"/>
        <v>20</v>
      </c>
      <c r="J13" s="14">
        <f t="shared" si="5"/>
        <v>57</v>
      </c>
      <c r="K13" s="15">
        <f t="shared" si="5"/>
        <v>46</v>
      </c>
      <c r="L13" s="14">
        <f t="shared" si="5"/>
        <v>16</v>
      </c>
      <c r="M13" s="14">
        <f t="shared" si="5"/>
        <v>17</v>
      </c>
      <c r="N13" s="14">
        <f t="shared" si="5"/>
        <v>33</v>
      </c>
      <c r="O13" s="14">
        <f t="shared" si="5"/>
        <v>11</v>
      </c>
      <c r="P13" s="14">
        <f t="shared" si="5"/>
        <v>7</v>
      </c>
      <c r="Q13" s="14">
        <f t="shared" si="5"/>
        <v>14</v>
      </c>
      <c r="R13" s="14">
        <f t="shared" si="5"/>
        <v>2</v>
      </c>
    </row>
    <row r="14" spans="2:20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40.5" spans="2:20">
      <c r="B15" s="1">
        <v>1</v>
      </c>
      <c r="C15" s="5" t="s">
        <v>36</v>
      </c>
      <c r="D15" s="5" t="s">
        <v>37</v>
      </c>
      <c r="E15" s="5">
        <v>1</v>
      </c>
      <c r="F15" s="5">
        <v>1</v>
      </c>
      <c r="G15" s="5">
        <v>0</v>
      </c>
      <c r="H15" s="5">
        <v>3</v>
      </c>
      <c r="I15" s="4">
        <f t="shared" ref="I15:I24" si="6">E15+G15</f>
        <v>1</v>
      </c>
      <c r="J15" s="4">
        <f t="shared" ref="J15:J24" si="7">F15+H15</f>
        <v>4</v>
      </c>
      <c r="K15" s="16">
        <f t="shared" ref="K15:K24" si="8">2*E15+3*G15</f>
        <v>2</v>
      </c>
      <c r="L15" s="5">
        <v>4</v>
      </c>
      <c r="M15" s="5">
        <v>4</v>
      </c>
      <c r="N15" s="16">
        <f t="shared" ref="N15:N24" si="9">L15+M15</f>
        <v>8</v>
      </c>
      <c r="O15" s="5">
        <v>3</v>
      </c>
      <c r="P15" s="5">
        <v>1</v>
      </c>
      <c r="Q15" s="5">
        <v>1</v>
      </c>
      <c r="R15" s="5">
        <v>2</v>
      </c>
      <c r="T15" s="8" t="str">
        <f t="shared" ref="T15:T24" si="10">"{""match_id"": """&amp;$D$2&amp;""", ""pts"": "&amp;K15&amp;", ""reb"": "&amp;N15&amp;", ""ast"": "&amp;O15&amp;", ""stl"": "&amp;P15&amp;", ""blk"": "&amp;R15&amp;", ""tov"": "&amp;Q15&amp;", ""fgm"": "&amp;I15&amp;", ""fga"": "&amp;J15&amp;", ""fg2m"": "&amp;E15&amp;", ""fg2a"": "&amp;F15&amp;", ""fg3m"": "&amp;G15&amp;", ""fg3a"": "&amp;H15&amp;", ""oreb"": "&amp;L15&amp;"}"</f>
        <v>{"match_id": "g3", "pts": 2, "reb": 8, "ast": 3, "stl": 1, "blk": 2, "tov": 1, "fgm": 1, "fga": 4, "fg2m": 1, "fg2a": 1, "fg3m": 0, "fg3a": 3, "oreb": 4}</v>
      </c>
    </row>
    <row r="16" ht="40.5" spans="2:20">
      <c r="B16" s="1">
        <v>2</v>
      </c>
      <c r="C16" s="17" t="s">
        <v>38</v>
      </c>
      <c r="D16" s="17"/>
      <c r="E16" s="17">
        <v>0</v>
      </c>
      <c r="F16" s="17">
        <v>6</v>
      </c>
      <c r="G16" s="17">
        <v>0</v>
      </c>
      <c r="H16" s="17">
        <v>3</v>
      </c>
      <c r="I16" s="2">
        <f t="shared" si="6"/>
        <v>0</v>
      </c>
      <c r="J16" s="2">
        <f t="shared" si="7"/>
        <v>9</v>
      </c>
      <c r="K16" s="2">
        <f t="shared" si="8"/>
        <v>0</v>
      </c>
      <c r="L16" s="17">
        <v>4</v>
      </c>
      <c r="M16" s="17">
        <v>1</v>
      </c>
      <c r="N16" s="2">
        <f t="shared" si="9"/>
        <v>5</v>
      </c>
      <c r="O16" s="17">
        <v>0</v>
      </c>
      <c r="P16" s="17">
        <v>0</v>
      </c>
      <c r="Q16" s="17">
        <v>2</v>
      </c>
      <c r="R16" s="17">
        <v>0</v>
      </c>
      <c r="T16" s="8" t="str">
        <f t="shared" si="10"/>
        <v>{"match_id": "g3", "pts": 0, "reb": 5, "ast": 0, "stl": 0, "blk": 0, "tov": 2, "fgm": 0, "fga": 9, "fg2m": 0, "fg2a": 6, "fg3m": 0, "fg3a": 3, "oreb": 4}</v>
      </c>
    </row>
    <row r="17" ht="40.5" spans="2:20">
      <c r="B17" s="1">
        <v>3</v>
      </c>
      <c r="C17" s="5"/>
      <c r="D17" s="5" t="s">
        <v>39</v>
      </c>
      <c r="E17" s="5">
        <v>2</v>
      </c>
      <c r="F17" s="5">
        <v>3</v>
      </c>
      <c r="G17" s="5">
        <v>2</v>
      </c>
      <c r="H17" s="5">
        <v>4</v>
      </c>
      <c r="I17" s="4">
        <f t="shared" si="6"/>
        <v>4</v>
      </c>
      <c r="J17" s="4">
        <f t="shared" si="7"/>
        <v>7</v>
      </c>
      <c r="K17" s="16">
        <f t="shared" si="8"/>
        <v>10</v>
      </c>
      <c r="L17" s="5">
        <v>0</v>
      </c>
      <c r="M17" s="5">
        <v>1</v>
      </c>
      <c r="N17" s="16">
        <f t="shared" si="9"/>
        <v>1</v>
      </c>
      <c r="O17" s="5">
        <v>1</v>
      </c>
      <c r="P17" s="5">
        <v>3</v>
      </c>
      <c r="Q17" s="5">
        <v>3</v>
      </c>
      <c r="R17" s="5">
        <v>1</v>
      </c>
      <c r="T17" s="8" t="str">
        <f t="shared" si="10"/>
        <v>{"match_id": "g3", "pts": 10, "reb": 1, "ast": 1, "stl": 3, "blk": 1, "tov": 3, "fgm": 4, "fga": 7, "fg2m": 2, "fg2a": 3, "fg3m": 2, "fg3a": 4, "oreb": 0}</v>
      </c>
    </row>
    <row r="18" ht="40.5" spans="2:20">
      <c r="B18" s="1">
        <v>4</v>
      </c>
      <c r="C18" s="17" t="s">
        <v>40</v>
      </c>
      <c r="D18" s="17"/>
      <c r="E18" s="17">
        <v>4</v>
      </c>
      <c r="F18" s="17">
        <v>9</v>
      </c>
      <c r="G18" s="17">
        <v>0</v>
      </c>
      <c r="H18" s="17">
        <v>3</v>
      </c>
      <c r="I18" s="2">
        <f t="shared" si="6"/>
        <v>4</v>
      </c>
      <c r="J18" s="2">
        <f t="shared" si="7"/>
        <v>12</v>
      </c>
      <c r="K18" s="2">
        <f t="shared" si="8"/>
        <v>8</v>
      </c>
      <c r="L18" s="17">
        <v>1</v>
      </c>
      <c r="M18" s="17">
        <v>4</v>
      </c>
      <c r="N18" s="2">
        <f t="shared" si="9"/>
        <v>5</v>
      </c>
      <c r="O18" s="17">
        <v>1</v>
      </c>
      <c r="P18" s="17">
        <v>0</v>
      </c>
      <c r="Q18" s="17">
        <v>4</v>
      </c>
      <c r="R18" s="17">
        <v>0</v>
      </c>
      <c r="T18" s="8" t="str">
        <f t="shared" si="10"/>
        <v>{"match_id": "g3", "pts": 8, "reb": 5, "ast": 1, "stl": 0, "blk": 0, "tov": 4, "fgm": 4, "fga": 12, "fg2m": 4, "fg2a": 9, "fg3m": 0, "fg3a": 3, "oreb": 1}</v>
      </c>
    </row>
    <row r="19" customFormat="1" ht="40.5" spans="2:20">
      <c r="B19" s="1">
        <v>5</v>
      </c>
      <c r="C19" s="5"/>
      <c r="D19" s="5" t="s">
        <v>41</v>
      </c>
      <c r="E19" s="5">
        <v>2</v>
      </c>
      <c r="F19" s="5">
        <v>5</v>
      </c>
      <c r="G19" s="5">
        <v>0</v>
      </c>
      <c r="H19" s="5">
        <v>2</v>
      </c>
      <c r="I19" s="4">
        <f t="shared" si="6"/>
        <v>2</v>
      </c>
      <c r="J19" s="4">
        <f t="shared" si="7"/>
        <v>7</v>
      </c>
      <c r="K19" s="16">
        <f t="shared" si="8"/>
        <v>4</v>
      </c>
      <c r="L19" s="5">
        <v>3</v>
      </c>
      <c r="M19" s="5">
        <v>5</v>
      </c>
      <c r="N19" s="16">
        <f t="shared" si="9"/>
        <v>8</v>
      </c>
      <c r="O19" s="5">
        <v>1</v>
      </c>
      <c r="P19" s="5">
        <v>1</v>
      </c>
      <c r="Q19" s="5">
        <v>2</v>
      </c>
      <c r="R19" s="5">
        <v>0</v>
      </c>
      <c r="T19" s="8" t="str">
        <f t="shared" si="10"/>
        <v>{"match_id": "g3", "pts": 4, "reb": 8, "ast": 1, "stl": 1, "blk": 0, "tov": 2, "fgm": 2, "fga": 7, "fg2m": 2, "fg2a": 5, "fg3m": 0, "fg3a": 2, "oreb": 3}</v>
      </c>
    </row>
    <row r="20" customFormat="1" ht="40.5" spans="2:20">
      <c r="B20" s="1">
        <v>6</v>
      </c>
      <c r="C20" s="17"/>
      <c r="D20" s="17" t="s">
        <v>42</v>
      </c>
      <c r="E20" s="17">
        <v>1</v>
      </c>
      <c r="F20" s="17">
        <v>1</v>
      </c>
      <c r="G20" s="17">
        <v>1</v>
      </c>
      <c r="H20" s="17">
        <v>5</v>
      </c>
      <c r="I20" s="2">
        <f t="shared" si="6"/>
        <v>2</v>
      </c>
      <c r="J20" s="2">
        <f t="shared" si="7"/>
        <v>6</v>
      </c>
      <c r="K20" s="2">
        <f t="shared" si="8"/>
        <v>5</v>
      </c>
      <c r="L20" s="17">
        <v>0</v>
      </c>
      <c r="M20" s="17">
        <v>0</v>
      </c>
      <c r="N20" s="2">
        <f t="shared" si="9"/>
        <v>0</v>
      </c>
      <c r="O20" s="17">
        <v>3</v>
      </c>
      <c r="P20" s="17">
        <v>2</v>
      </c>
      <c r="Q20" s="17">
        <v>1</v>
      </c>
      <c r="R20" s="17">
        <v>0</v>
      </c>
      <c r="T20" s="8" t="str">
        <f t="shared" si="10"/>
        <v>{"match_id": "g3", "pts": 5, "reb": 0, "ast": 3, "stl": 2, "blk": 0, "tov": 1, "fgm": 2, "fga": 6, "fg2m": 1, "fg2a": 1, "fg3m": 1, "fg3a": 5, "oreb": 0}</v>
      </c>
    </row>
    <row r="21" customFormat="1" ht="40.5" spans="2:20">
      <c r="B21" s="1">
        <v>7</v>
      </c>
      <c r="C21" s="4"/>
      <c r="D21" s="4" t="s">
        <v>28</v>
      </c>
      <c r="E21" s="5">
        <v>2</v>
      </c>
      <c r="F21" s="5">
        <v>3</v>
      </c>
      <c r="G21" s="5">
        <v>0</v>
      </c>
      <c r="H21" s="5">
        <v>0</v>
      </c>
      <c r="I21" s="4">
        <f t="shared" si="6"/>
        <v>2</v>
      </c>
      <c r="J21" s="4">
        <f t="shared" si="7"/>
        <v>3</v>
      </c>
      <c r="K21" s="16">
        <f t="shared" si="8"/>
        <v>4</v>
      </c>
      <c r="L21" s="5">
        <v>2</v>
      </c>
      <c r="M21" s="5">
        <v>0</v>
      </c>
      <c r="N21" s="16">
        <f t="shared" si="9"/>
        <v>2</v>
      </c>
      <c r="O21" s="5">
        <v>0</v>
      </c>
      <c r="P21" s="5">
        <v>1</v>
      </c>
      <c r="Q21" s="5">
        <v>2</v>
      </c>
      <c r="R21" s="5">
        <v>0</v>
      </c>
      <c r="T21" s="8" t="str">
        <f t="shared" si="10"/>
        <v>{"match_id": "g3", "pts": 4, "reb": 2, "ast": 0, "stl": 1, "blk": 0, "tov": 2, "fgm": 2, "fga": 3, "fg2m": 2, "fg2a": 3, "fg3m": 0, "fg3a": 0, "oreb": 2}</v>
      </c>
    </row>
    <row r="22" ht="25.1" spans="2:20">
      <c r="B22" s="18" t="s">
        <v>19</v>
      </c>
      <c r="C22" s="18"/>
      <c r="D22" s="18"/>
      <c r="E22" s="6">
        <f t="shared" ref="E22:R22" si="11">SUM(E15:E21)</f>
        <v>12</v>
      </c>
      <c r="F22" s="6">
        <f t="shared" si="11"/>
        <v>28</v>
      </c>
      <c r="G22" s="6">
        <f t="shared" si="11"/>
        <v>3</v>
      </c>
      <c r="H22" s="6">
        <f t="shared" si="11"/>
        <v>20</v>
      </c>
      <c r="I22" s="6">
        <f t="shared" si="11"/>
        <v>15</v>
      </c>
      <c r="J22" s="6">
        <f t="shared" si="11"/>
        <v>48</v>
      </c>
      <c r="K22" s="19">
        <f t="shared" si="11"/>
        <v>33</v>
      </c>
      <c r="L22" s="6">
        <f t="shared" si="11"/>
        <v>14</v>
      </c>
      <c r="M22" s="6">
        <f t="shared" si="11"/>
        <v>15</v>
      </c>
      <c r="N22" s="6">
        <f t="shared" si="11"/>
        <v>29</v>
      </c>
      <c r="O22" s="6">
        <f t="shared" si="11"/>
        <v>9</v>
      </c>
      <c r="P22" s="6">
        <f t="shared" si="11"/>
        <v>8</v>
      </c>
      <c r="Q22" s="6">
        <f t="shared" si="11"/>
        <v>15</v>
      </c>
      <c r="R22" s="6">
        <f t="shared" si="11"/>
        <v>3</v>
      </c>
    </row>
  </sheetData>
  <mergeCells count="4">
    <mergeCell ref="B5:R5"/>
    <mergeCell ref="B13:D13"/>
    <mergeCell ref="B14:R14"/>
    <mergeCell ref="B22:D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0"/>
  <sheetViews>
    <sheetView zoomScale="70" zoomScaleNormal="70" workbookViewId="0">
      <selection activeCell="T19" sqref="T19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65.1150442477876" customWidth="1"/>
  </cols>
  <sheetData>
    <row r="2" spans="2:20">
      <c r="C2" t="s">
        <v>0</v>
      </c>
      <c r="D2" t="s">
        <v>44</v>
      </c>
      <c r="T2" t="s">
        <v>2</v>
      </c>
    </row>
    <row r="4" ht="40.5" spans="2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2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40.5" spans="2:20">
      <c r="B6" s="1">
        <v>1</v>
      </c>
      <c r="C6" s="4"/>
      <c r="D6" s="5" t="s">
        <v>30</v>
      </c>
      <c r="E6" s="5">
        <v>2</v>
      </c>
      <c r="F6" s="5">
        <v>5</v>
      </c>
      <c r="G6" s="5">
        <v>1</v>
      </c>
      <c r="H6" s="5">
        <v>4</v>
      </c>
      <c r="I6" s="6">
        <f t="shared" ref="I6:I11" si="0">E6+G6</f>
        <v>3</v>
      </c>
      <c r="J6" s="6">
        <f t="shared" ref="J6:J11" si="1">F6+H6</f>
        <v>9</v>
      </c>
      <c r="K6" s="7">
        <f t="shared" ref="K6:K11" si="2">2*E6+3*G6</f>
        <v>7</v>
      </c>
      <c r="L6" s="5">
        <v>2</v>
      </c>
      <c r="M6" s="5">
        <v>7</v>
      </c>
      <c r="N6" s="7">
        <f t="shared" ref="N6:N11" si="3">L6+M6</f>
        <v>9</v>
      </c>
      <c r="O6" s="5">
        <v>4</v>
      </c>
      <c r="P6" s="5">
        <v>1</v>
      </c>
      <c r="Q6" s="5">
        <v>1</v>
      </c>
      <c r="R6" s="5">
        <v>0</v>
      </c>
      <c r="T6" s="8" t="str">
        <f t="shared" ref="T6:T11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"g2", "pts": 7, "reb": 9, "ast": 4, "stl": 1, "blk": 0, "tov": 1, "fgm": 3, "fga": 9, "fg2m": 2, "fg2a": 5, "fg3m": 1, "fg3a": 4, "oreb": 2}</v>
      </c>
    </row>
    <row r="7" ht="40.5" spans="2:20">
      <c r="B7" s="1">
        <v>2</v>
      </c>
      <c r="C7" s="2"/>
      <c r="D7" s="2" t="s">
        <v>22</v>
      </c>
      <c r="E7" s="9">
        <v>6</v>
      </c>
      <c r="F7" s="9">
        <v>11</v>
      </c>
      <c r="G7" s="9">
        <v>0</v>
      </c>
      <c r="H7" s="9">
        <v>0</v>
      </c>
      <c r="I7" s="10">
        <f t="shared" si="0"/>
        <v>6</v>
      </c>
      <c r="J7" s="10">
        <f t="shared" si="1"/>
        <v>11</v>
      </c>
      <c r="K7" s="10">
        <f t="shared" si="2"/>
        <v>12</v>
      </c>
      <c r="L7" s="9">
        <v>2</v>
      </c>
      <c r="M7" s="9">
        <v>5</v>
      </c>
      <c r="N7" s="10">
        <f t="shared" si="3"/>
        <v>7</v>
      </c>
      <c r="O7" s="9">
        <v>0</v>
      </c>
      <c r="P7" s="9">
        <v>0</v>
      </c>
      <c r="Q7" s="9">
        <v>0</v>
      </c>
      <c r="R7" s="9">
        <v>1</v>
      </c>
      <c r="T7" s="8" t="str">
        <f t="shared" si="4"/>
        <v>{"match_id": "g2", "pts": 12, "reb": 7, "ast": 0, "stl": 0, "blk": 1, "tov": 0, "fgm": 6, "fga": 11, "fg2m": 6, "fg2a": 11, "fg3m": 0, "fg3a": 0, "oreb": 2}</v>
      </c>
    </row>
    <row r="8" ht="40.5" spans="2:20">
      <c r="B8" s="1">
        <v>3</v>
      </c>
      <c r="C8" s="4"/>
      <c r="D8" s="5" t="s">
        <v>23</v>
      </c>
      <c r="E8" s="5">
        <v>0</v>
      </c>
      <c r="F8" s="5">
        <v>3</v>
      </c>
      <c r="G8" s="5">
        <v>4</v>
      </c>
      <c r="H8" s="5">
        <v>6</v>
      </c>
      <c r="I8" s="6">
        <f t="shared" si="0"/>
        <v>4</v>
      </c>
      <c r="J8" s="6">
        <f t="shared" si="1"/>
        <v>9</v>
      </c>
      <c r="K8" s="7">
        <f t="shared" si="2"/>
        <v>12</v>
      </c>
      <c r="L8" s="5">
        <v>1</v>
      </c>
      <c r="M8" s="5">
        <v>3</v>
      </c>
      <c r="N8" s="7">
        <f t="shared" si="3"/>
        <v>4</v>
      </c>
      <c r="O8" s="5">
        <v>3</v>
      </c>
      <c r="P8" s="5">
        <v>1</v>
      </c>
      <c r="Q8" s="5">
        <v>1</v>
      </c>
      <c r="R8" s="5">
        <v>0</v>
      </c>
      <c r="T8" s="8" t="str">
        <f t="shared" si="4"/>
        <v>{"match_id": "g2", "pts": 12, "reb": 4, "ast": 3, "stl": 1, "blk": 0, "tov": 1, "fgm": 4, "fga": 9, "fg2m": 0, "fg2a": 3, "fg3m": 4, "fg3a": 6, "oreb": 1}</v>
      </c>
    </row>
    <row r="9" customFormat="1" ht="40.5" spans="2:20">
      <c r="B9" s="1">
        <v>4</v>
      </c>
      <c r="C9" s="11"/>
      <c r="D9" s="12" t="s">
        <v>24</v>
      </c>
      <c r="E9" s="12">
        <v>0</v>
      </c>
      <c r="F9" s="12">
        <v>2</v>
      </c>
      <c r="G9" s="12">
        <v>0</v>
      </c>
      <c r="H9" s="12">
        <v>0</v>
      </c>
      <c r="I9" s="10">
        <f t="shared" si="0"/>
        <v>0</v>
      </c>
      <c r="J9" s="10">
        <f t="shared" si="1"/>
        <v>2</v>
      </c>
      <c r="K9" s="10">
        <f t="shared" si="2"/>
        <v>0</v>
      </c>
      <c r="L9" s="12">
        <v>1</v>
      </c>
      <c r="M9" s="12">
        <v>0</v>
      </c>
      <c r="N9" s="10">
        <f t="shared" si="3"/>
        <v>1</v>
      </c>
      <c r="O9" s="12">
        <v>2</v>
      </c>
      <c r="P9" s="12">
        <v>1</v>
      </c>
      <c r="Q9" s="12">
        <v>0</v>
      </c>
      <c r="R9" s="12">
        <v>0</v>
      </c>
      <c r="T9" s="8" t="str">
        <f t="shared" si="4"/>
        <v>{"match_id": "g2", "pts": 0, "reb": 1, "ast": 2, "stl": 1, "blk": 0, "tov": 0, "fgm": 0, "fga": 2, "fg2m": 0, "fg2a": 2, "fg3m": 0, "fg3a": 0, "oreb": 1}</v>
      </c>
    </row>
    <row r="10" customFormat="1" ht="40.5" spans="2:20">
      <c r="B10" s="1">
        <v>5</v>
      </c>
      <c r="C10" s="4"/>
      <c r="D10" s="5" t="s">
        <v>25</v>
      </c>
      <c r="E10" s="5">
        <v>2</v>
      </c>
      <c r="F10" s="5">
        <v>7</v>
      </c>
      <c r="G10" s="5">
        <v>1</v>
      </c>
      <c r="H10" s="5">
        <v>9</v>
      </c>
      <c r="I10" s="6">
        <f t="shared" si="0"/>
        <v>3</v>
      </c>
      <c r="J10" s="6">
        <f t="shared" si="1"/>
        <v>16</v>
      </c>
      <c r="K10" s="7">
        <f t="shared" si="2"/>
        <v>7</v>
      </c>
      <c r="L10" s="5">
        <v>0</v>
      </c>
      <c r="M10" s="5">
        <v>2</v>
      </c>
      <c r="N10" s="7">
        <f t="shared" si="3"/>
        <v>2</v>
      </c>
      <c r="O10" s="5">
        <v>5</v>
      </c>
      <c r="P10" s="5">
        <v>1</v>
      </c>
      <c r="Q10" s="5">
        <v>0</v>
      </c>
      <c r="R10" s="5">
        <v>0</v>
      </c>
      <c r="T10" s="8" t="str">
        <f t="shared" si="4"/>
        <v>{"match_id": "g2", "pts": 7, "reb": 2, "ast": 5, "stl": 1, "blk": 0, "tov": 0, "fgm": 3, "fga": 16, "fg2m": 2, "fg2a": 7, "fg3m": 1, "fg3a": 9, "oreb": 0}</v>
      </c>
    </row>
    <row r="11" customFormat="1" ht="40.5" spans="2:20">
      <c r="B11" s="1">
        <v>6</v>
      </c>
      <c r="C11" s="11"/>
      <c r="D11" s="11" t="s">
        <v>27</v>
      </c>
      <c r="E11" s="12">
        <v>1</v>
      </c>
      <c r="F11" s="12">
        <v>3</v>
      </c>
      <c r="G11" s="12">
        <v>0</v>
      </c>
      <c r="H11" s="12">
        <v>1</v>
      </c>
      <c r="I11" s="10">
        <f t="shared" si="0"/>
        <v>1</v>
      </c>
      <c r="J11" s="10">
        <f t="shared" si="1"/>
        <v>4</v>
      </c>
      <c r="K11" s="10">
        <f t="shared" si="2"/>
        <v>2</v>
      </c>
      <c r="L11" s="12">
        <v>2</v>
      </c>
      <c r="M11" s="12">
        <v>4</v>
      </c>
      <c r="N11" s="10">
        <f t="shared" si="3"/>
        <v>6</v>
      </c>
      <c r="O11" s="12">
        <v>0</v>
      </c>
      <c r="P11" s="12">
        <v>2</v>
      </c>
      <c r="Q11" s="12">
        <v>2</v>
      </c>
      <c r="R11" s="12">
        <v>1</v>
      </c>
      <c r="T11" s="8" t="str">
        <f t="shared" si="4"/>
        <v>{"match_id": "g2", "pts": 2, "reb": 6, "ast": 0, "stl": 2, "blk": 1, "tov": 2, "fgm": 1, "fga": 4, "fg2m": 1, "fg2a": 3, "fg3m": 0, "fg3a": 1, "oreb": 2}</v>
      </c>
    </row>
    <row r="12" ht="25.1" spans="2:20">
      <c r="B12" s="13" t="s">
        <v>19</v>
      </c>
      <c r="C12" s="13"/>
      <c r="D12" s="13"/>
      <c r="E12" s="14">
        <f t="shared" ref="E12:R12" si="5">SUM(E6:E11)</f>
        <v>11</v>
      </c>
      <c r="F12" s="14">
        <f t="shared" si="5"/>
        <v>31</v>
      </c>
      <c r="G12" s="14">
        <f t="shared" si="5"/>
        <v>6</v>
      </c>
      <c r="H12" s="14">
        <f t="shared" si="5"/>
        <v>20</v>
      </c>
      <c r="I12" s="14">
        <f t="shared" si="5"/>
        <v>17</v>
      </c>
      <c r="J12" s="14">
        <f t="shared" si="5"/>
        <v>51</v>
      </c>
      <c r="K12" s="15">
        <f t="shared" si="5"/>
        <v>40</v>
      </c>
      <c r="L12" s="14">
        <f t="shared" si="5"/>
        <v>8</v>
      </c>
      <c r="M12" s="14">
        <f t="shared" si="5"/>
        <v>21</v>
      </c>
      <c r="N12" s="14">
        <f t="shared" si="5"/>
        <v>29</v>
      </c>
      <c r="O12" s="14">
        <f t="shared" si="5"/>
        <v>14</v>
      </c>
      <c r="P12" s="14">
        <f t="shared" si="5"/>
        <v>6</v>
      </c>
      <c r="Q12" s="14">
        <f t="shared" si="5"/>
        <v>4</v>
      </c>
      <c r="R12" s="14">
        <f t="shared" si="5"/>
        <v>2</v>
      </c>
    </row>
    <row r="13" spans="2:20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40.5" spans="2:20">
      <c r="B14" s="1">
        <v>1</v>
      </c>
      <c r="C14" s="4" t="s">
        <v>45</v>
      </c>
      <c r="D14" s="4" t="s">
        <v>29</v>
      </c>
      <c r="E14" s="5">
        <v>2</v>
      </c>
      <c r="F14" s="5">
        <v>4</v>
      </c>
      <c r="G14" s="5">
        <v>0</v>
      </c>
      <c r="H14" s="5">
        <v>4</v>
      </c>
      <c r="I14" s="4">
        <f t="shared" ref="I14:I19" si="6">E14+G14</f>
        <v>2</v>
      </c>
      <c r="J14" s="4">
        <f t="shared" ref="J14:J19" si="7">F14+H14</f>
        <v>8</v>
      </c>
      <c r="K14" s="16">
        <f t="shared" ref="K14:K19" si="8">2*E14+3*G14</f>
        <v>4</v>
      </c>
      <c r="L14" s="5">
        <v>5</v>
      </c>
      <c r="M14" s="5">
        <v>5</v>
      </c>
      <c r="N14" s="16">
        <f t="shared" ref="N14:N19" si="9">L14+M14</f>
        <v>10</v>
      </c>
      <c r="O14" s="5">
        <v>2</v>
      </c>
      <c r="P14" s="5">
        <v>1</v>
      </c>
      <c r="Q14" s="5">
        <v>1</v>
      </c>
      <c r="R14" s="5">
        <v>0</v>
      </c>
      <c r="T14" s="8" t="str">
        <f t="shared" ref="T14:T19" si="10">"{""match_id"": """&amp;$D$2&amp;""", ""pts"": "&amp;K14&amp;", ""reb"": "&amp;N14&amp;", ""ast"": "&amp;O14&amp;", ""stl"": "&amp;P14&amp;", ""blk"": "&amp;R14&amp;", ""tov"": "&amp;Q14&amp;", ""fgm"": "&amp;I14&amp;", ""fga"": "&amp;J14&amp;", ""fg2m"": "&amp;E14&amp;", ""fg2a"": "&amp;F14&amp;", ""fg3m"": "&amp;G14&amp;", ""fg3a"": "&amp;H14&amp;", ""oreb"": "&amp;L14&amp;"}"</f>
        <v>{"match_id": "g2", "pts": 4, "reb": 10, "ast": 2, "stl": 1, "blk": 0, "tov": 1, "fgm": 2, "fga": 8, "fg2m": 2, "fg2a": 4, "fg3m": 0, "fg3a": 4, "oreb": 5}</v>
      </c>
    </row>
    <row r="15" ht="40.5" spans="2:20">
      <c r="B15" s="1">
        <v>2</v>
      </c>
      <c r="C15" s="2" t="s">
        <v>38</v>
      </c>
      <c r="D15" s="2"/>
      <c r="E15" s="17">
        <v>0</v>
      </c>
      <c r="F15" s="17">
        <v>4</v>
      </c>
      <c r="G15" s="17">
        <v>1</v>
      </c>
      <c r="H15" s="17">
        <v>6</v>
      </c>
      <c r="I15" s="2">
        <f t="shared" si="6"/>
        <v>1</v>
      </c>
      <c r="J15" s="2">
        <f t="shared" si="7"/>
        <v>10</v>
      </c>
      <c r="K15" s="2">
        <f t="shared" si="8"/>
        <v>3</v>
      </c>
      <c r="L15" s="17">
        <v>2</v>
      </c>
      <c r="M15" s="17">
        <v>3</v>
      </c>
      <c r="N15" s="2">
        <f t="shared" si="9"/>
        <v>5</v>
      </c>
      <c r="O15" s="17">
        <v>1</v>
      </c>
      <c r="P15" s="17">
        <v>0</v>
      </c>
      <c r="Q15" s="17">
        <v>2</v>
      </c>
      <c r="R15" s="17">
        <v>0</v>
      </c>
      <c r="T15" s="8" t="str">
        <f t="shared" si="10"/>
        <v>{"match_id": "g2", "pts": 3, "reb": 5, "ast": 1, "stl": 0, "blk": 0, "tov": 2, "fgm": 1, "fga": 10, "fg2m": 0, "fg2a": 4, "fg3m": 1, "fg3a": 6, "oreb": 2}</v>
      </c>
    </row>
    <row r="16" ht="40.5" spans="2:20">
      <c r="B16" s="1">
        <v>3</v>
      </c>
      <c r="C16" s="4" t="s">
        <v>46</v>
      </c>
      <c r="D16" s="4"/>
      <c r="E16" s="5">
        <v>1</v>
      </c>
      <c r="F16" s="5">
        <v>4</v>
      </c>
      <c r="G16" s="5">
        <v>0</v>
      </c>
      <c r="H16" s="5">
        <v>0</v>
      </c>
      <c r="I16" s="4">
        <f t="shared" si="6"/>
        <v>1</v>
      </c>
      <c r="J16" s="4">
        <f t="shared" si="7"/>
        <v>4</v>
      </c>
      <c r="K16" s="16">
        <f t="shared" si="8"/>
        <v>2</v>
      </c>
      <c r="L16" s="5">
        <v>3</v>
      </c>
      <c r="M16" s="5">
        <v>3</v>
      </c>
      <c r="N16" s="16">
        <f t="shared" si="9"/>
        <v>6</v>
      </c>
      <c r="O16" s="5">
        <v>0</v>
      </c>
      <c r="P16" s="5">
        <v>0</v>
      </c>
      <c r="Q16" s="5">
        <v>1</v>
      </c>
      <c r="R16" s="5">
        <v>0</v>
      </c>
      <c r="T16" s="8" t="str">
        <f t="shared" si="10"/>
        <v>{"match_id": "g2", "pts": 2, "reb": 6, "ast": 0, "stl": 0, "blk": 0, "tov": 1, "fgm": 1, "fga": 4, "fg2m": 1, "fg2a": 4, "fg3m": 0, "fg3a": 0, "oreb": 3}</v>
      </c>
    </row>
    <row r="17" ht="40.5" spans="2:20">
      <c r="B17" s="1">
        <v>4</v>
      </c>
      <c r="C17" s="2" t="s">
        <v>40</v>
      </c>
      <c r="D17" s="2"/>
      <c r="E17" s="17">
        <v>4</v>
      </c>
      <c r="F17" s="17">
        <v>9</v>
      </c>
      <c r="G17" s="17">
        <v>1</v>
      </c>
      <c r="H17" s="17">
        <v>2</v>
      </c>
      <c r="I17" s="2">
        <f t="shared" si="6"/>
        <v>5</v>
      </c>
      <c r="J17" s="2">
        <f t="shared" si="7"/>
        <v>11</v>
      </c>
      <c r="K17" s="2">
        <f t="shared" si="8"/>
        <v>11</v>
      </c>
      <c r="L17" s="17">
        <v>1</v>
      </c>
      <c r="M17" s="17">
        <v>6</v>
      </c>
      <c r="N17" s="2">
        <f t="shared" si="9"/>
        <v>7</v>
      </c>
      <c r="O17" s="17">
        <v>1</v>
      </c>
      <c r="P17" s="17">
        <v>1</v>
      </c>
      <c r="Q17" s="17">
        <v>1</v>
      </c>
      <c r="R17" s="17">
        <v>0</v>
      </c>
      <c r="T17" s="8" t="str">
        <f t="shared" si="10"/>
        <v>{"match_id": "g2", "pts": 11, "reb": 7, "ast": 1, "stl": 1, "blk": 0, "tov": 1, "fgm": 5, "fga": 11, "fg2m": 4, "fg2a": 9, "fg3m": 1, "fg3a": 2, "oreb": 1}</v>
      </c>
    </row>
    <row r="18" customFormat="1" ht="40.5" spans="2:20">
      <c r="B18" s="1">
        <v>5</v>
      </c>
      <c r="C18" s="4" t="s">
        <v>47</v>
      </c>
      <c r="D18" s="4" t="s">
        <v>31</v>
      </c>
      <c r="E18" s="5">
        <v>1</v>
      </c>
      <c r="F18" s="5">
        <v>3</v>
      </c>
      <c r="G18" s="5">
        <v>0</v>
      </c>
      <c r="H18" s="5">
        <v>8</v>
      </c>
      <c r="I18" s="4">
        <f t="shared" si="6"/>
        <v>1</v>
      </c>
      <c r="J18" s="4">
        <f t="shared" si="7"/>
        <v>11</v>
      </c>
      <c r="K18" s="16">
        <f t="shared" si="8"/>
        <v>2</v>
      </c>
      <c r="L18" s="5">
        <v>0</v>
      </c>
      <c r="M18" s="5">
        <v>3</v>
      </c>
      <c r="N18" s="16">
        <f t="shared" si="9"/>
        <v>3</v>
      </c>
      <c r="O18" s="5">
        <v>2</v>
      </c>
      <c r="P18" s="5">
        <v>1</v>
      </c>
      <c r="Q18" s="5">
        <v>2</v>
      </c>
      <c r="R18" s="5">
        <v>0</v>
      </c>
      <c r="T18" s="8" t="str">
        <f t="shared" si="10"/>
        <v>{"match_id": "g2", "pts": 2, "reb": 3, "ast": 2, "stl": 1, "blk": 0, "tov": 2, "fgm": 1, "fga": 11, "fg2m": 1, "fg2a": 3, "fg3m": 0, "fg3a": 8, "oreb": 0}</v>
      </c>
    </row>
    <row r="19" customFormat="1" ht="40.5" spans="2:20">
      <c r="B19" s="1">
        <v>6</v>
      </c>
      <c r="C19" s="2" t="s">
        <v>28</v>
      </c>
      <c r="D19" s="2"/>
      <c r="E19" s="17">
        <v>1</v>
      </c>
      <c r="F19" s="17">
        <v>3</v>
      </c>
      <c r="G19" s="17">
        <v>1</v>
      </c>
      <c r="H19" s="17">
        <v>6</v>
      </c>
      <c r="I19" s="2">
        <f t="shared" si="6"/>
        <v>2</v>
      </c>
      <c r="J19" s="2">
        <f t="shared" si="7"/>
        <v>9</v>
      </c>
      <c r="K19" s="2">
        <f t="shared" si="8"/>
        <v>5</v>
      </c>
      <c r="L19" s="17">
        <v>1</v>
      </c>
      <c r="M19" s="17">
        <v>5</v>
      </c>
      <c r="N19" s="2">
        <f t="shared" si="9"/>
        <v>6</v>
      </c>
      <c r="O19" s="17">
        <v>1</v>
      </c>
      <c r="P19" s="17">
        <v>0</v>
      </c>
      <c r="Q19" s="17">
        <v>3</v>
      </c>
      <c r="R19" s="17">
        <v>0</v>
      </c>
      <c r="T19" s="8" t="str">
        <f t="shared" si="10"/>
        <v>{"match_id": "g2", "pts": 5, "reb": 6, "ast": 1, "stl": 0, "blk": 0, "tov": 3, "fgm": 2, "fga": 9, "fg2m": 1, "fg2a": 3, "fg3m": 1, "fg3a": 6, "oreb": 1}</v>
      </c>
    </row>
    <row r="20" ht="25.1" spans="2:20">
      <c r="B20" s="18" t="s">
        <v>19</v>
      </c>
      <c r="C20" s="18"/>
      <c r="D20" s="18"/>
      <c r="E20" s="6">
        <f t="shared" ref="E20:R20" si="11">SUM(E14:E19)</f>
        <v>9</v>
      </c>
      <c r="F20" s="6">
        <f t="shared" si="11"/>
        <v>27</v>
      </c>
      <c r="G20" s="6">
        <f t="shared" si="11"/>
        <v>3</v>
      </c>
      <c r="H20" s="6">
        <f t="shared" si="11"/>
        <v>26</v>
      </c>
      <c r="I20" s="6">
        <f t="shared" si="11"/>
        <v>12</v>
      </c>
      <c r="J20" s="6">
        <f t="shared" si="11"/>
        <v>53</v>
      </c>
      <c r="K20" s="19">
        <f t="shared" si="11"/>
        <v>27</v>
      </c>
      <c r="L20" s="6">
        <f t="shared" si="11"/>
        <v>12</v>
      </c>
      <c r="M20" s="6">
        <f t="shared" si="11"/>
        <v>25</v>
      </c>
      <c r="N20" s="6">
        <f t="shared" si="11"/>
        <v>37</v>
      </c>
      <c r="O20" s="6">
        <f t="shared" si="11"/>
        <v>7</v>
      </c>
      <c r="P20" s="6">
        <f t="shared" si="11"/>
        <v>3</v>
      </c>
      <c r="Q20" s="6">
        <f t="shared" si="11"/>
        <v>10</v>
      </c>
      <c r="R20" s="6">
        <f t="shared" si="11"/>
        <v>0</v>
      </c>
    </row>
  </sheetData>
  <mergeCells count="4">
    <mergeCell ref="B5:R5"/>
    <mergeCell ref="B12:D12"/>
    <mergeCell ref="B13:R13"/>
    <mergeCell ref="B20:D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20"/>
  <sheetViews>
    <sheetView zoomScale="85" zoomScaleNormal="85" workbookViewId="0">
      <selection activeCell="T19" sqref="T19"/>
    </sheetView>
  </sheetViews>
  <sheetFormatPr defaultColWidth="9" defaultRowHeight="13.5"/>
  <cols>
    <col min="1" max="2" width="3.5929203539823" customWidth="1"/>
    <col min="3" max="11" width="10.6283185840708" customWidth="1"/>
    <col min="12" max="15" width="10.7522123893805" customWidth="1"/>
    <col min="20" max="20" width="65.1150442477876" customWidth="1"/>
  </cols>
  <sheetData>
    <row r="2" spans="2:20">
      <c r="C2" t="s">
        <v>0</v>
      </c>
      <c r="D2" t="s">
        <v>48</v>
      </c>
      <c r="T2" t="s">
        <v>2</v>
      </c>
    </row>
    <row r="4" ht="40.5" spans="2:20">
      <c r="B4" s="1"/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spans="2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40.5" spans="2:20">
      <c r="B6" s="1">
        <v>1</v>
      </c>
      <c r="C6" s="4"/>
      <c r="D6" s="5" t="s">
        <v>30</v>
      </c>
      <c r="E6" s="5">
        <v>1</v>
      </c>
      <c r="F6" s="5">
        <v>3</v>
      </c>
      <c r="G6" s="5">
        <v>0</v>
      </c>
      <c r="H6" s="5">
        <v>4</v>
      </c>
      <c r="I6" s="6">
        <f t="shared" ref="I6:I15" si="0">E6+G6</f>
        <v>1</v>
      </c>
      <c r="J6" s="6">
        <f t="shared" ref="J6:J15" si="1">F6+H6</f>
        <v>7</v>
      </c>
      <c r="K6" s="7">
        <f t="shared" ref="K6:K15" si="2">2*E6+3*G6</f>
        <v>2</v>
      </c>
      <c r="L6" s="5">
        <v>4</v>
      </c>
      <c r="M6" s="5">
        <v>9</v>
      </c>
      <c r="N6" s="7">
        <f t="shared" ref="N6:N15" si="3">L6+M6</f>
        <v>13</v>
      </c>
      <c r="O6" s="5">
        <v>6</v>
      </c>
      <c r="P6" s="5">
        <v>1</v>
      </c>
      <c r="Q6" s="5">
        <v>5</v>
      </c>
      <c r="R6" s="5">
        <v>1</v>
      </c>
      <c r="T6" s="8" t="str">
        <f t="shared" ref="T6:T15" si="4">"{""match_id"": """&amp;$D$2&amp;""", ""pts"": "&amp;K6&amp;", ""reb"": "&amp;N6&amp;", ""ast"": "&amp;O6&amp;", ""stl"": "&amp;P6&amp;", ""blk"": "&amp;R6&amp;", ""tov"": "&amp;Q6&amp;", ""fgm"": "&amp;I6&amp;", ""fga"": "&amp;J6&amp;", ""fg2m"": "&amp;E6&amp;", ""fg2a"": "&amp;F6&amp;", ""fg3m"": "&amp;G6&amp;", ""fg3a"": "&amp;H6&amp;", ""oreb"": "&amp;L6&amp;"}"</f>
        <v>{"match_id": "g1", "pts": 2, "reb": 13, "ast": 6, "stl": 1, "blk": 1, "tov": 5, "fgm": 1, "fga": 7, "fg2m": 1, "fg2a": 3, "fg3m": 0, "fg3a": 4, "oreb": 4}</v>
      </c>
    </row>
    <row r="7" ht="40.5" spans="2:20">
      <c r="B7" s="1">
        <v>2</v>
      </c>
      <c r="C7" s="2"/>
      <c r="D7" s="2" t="s">
        <v>22</v>
      </c>
      <c r="E7" s="9">
        <v>3</v>
      </c>
      <c r="F7" s="9">
        <v>9</v>
      </c>
      <c r="G7" s="9">
        <v>0</v>
      </c>
      <c r="H7" s="9">
        <v>0</v>
      </c>
      <c r="I7" s="10">
        <f t="shared" si="0"/>
        <v>3</v>
      </c>
      <c r="J7" s="10">
        <f t="shared" si="1"/>
        <v>9</v>
      </c>
      <c r="K7" s="10">
        <f t="shared" si="2"/>
        <v>6</v>
      </c>
      <c r="L7" s="9">
        <v>2</v>
      </c>
      <c r="M7" s="9">
        <v>9</v>
      </c>
      <c r="N7" s="10">
        <f t="shared" si="3"/>
        <v>11</v>
      </c>
      <c r="O7" s="9">
        <v>1</v>
      </c>
      <c r="P7" s="9">
        <v>0</v>
      </c>
      <c r="Q7" s="9">
        <v>0</v>
      </c>
      <c r="R7" s="9">
        <v>0</v>
      </c>
      <c r="T7" s="8" t="str">
        <f t="shared" si="4"/>
        <v>{"match_id": "g1", "pts": 6, "reb": 11, "ast": 1, "stl": 0, "blk": 0, "tov": 0, "fgm": 3, "fga": 9, "fg2m": 3, "fg2a": 9, "fg3m": 0, "fg3a": 0, "oreb": 2}</v>
      </c>
    </row>
    <row r="8" ht="40.5" spans="2:20">
      <c r="B8" s="1">
        <v>3</v>
      </c>
      <c r="C8" s="4"/>
      <c r="D8" s="5" t="s">
        <v>23</v>
      </c>
      <c r="E8" s="5">
        <v>5</v>
      </c>
      <c r="F8" s="5">
        <v>7</v>
      </c>
      <c r="G8" s="5">
        <v>5</v>
      </c>
      <c r="H8" s="5">
        <v>8</v>
      </c>
      <c r="I8" s="6">
        <f t="shared" si="0"/>
        <v>10</v>
      </c>
      <c r="J8" s="6">
        <f t="shared" si="1"/>
        <v>15</v>
      </c>
      <c r="K8" s="7">
        <f t="shared" si="2"/>
        <v>25</v>
      </c>
      <c r="L8" s="5">
        <v>0</v>
      </c>
      <c r="M8" s="5">
        <v>3</v>
      </c>
      <c r="N8" s="7">
        <f t="shared" si="3"/>
        <v>3</v>
      </c>
      <c r="O8" s="5">
        <v>1</v>
      </c>
      <c r="P8" s="5">
        <v>1</v>
      </c>
      <c r="Q8" s="5">
        <v>2</v>
      </c>
      <c r="R8" s="5">
        <v>0</v>
      </c>
      <c r="T8" s="8" t="str">
        <f t="shared" si="4"/>
        <v>{"match_id": "g1", "pts": 25, "reb": 3, "ast": 1, "stl": 1, "blk": 0, "tov": 2, "fgm": 10, "fga": 15, "fg2m": 5, "fg2a": 7, "fg3m": 5, "fg3a": 8, "oreb": 0}</v>
      </c>
    </row>
    <row r="9" customFormat="1" ht="40.5" spans="2:20">
      <c r="B9" s="1">
        <v>4</v>
      </c>
      <c r="C9" s="11"/>
      <c r="D9" s="12" t="s">
        <v>24</v>
      </c>
      <c r="E9" s="12">
        <v>1</v>
      </c>
      <c r="F9" s="12">
        <v>4</v>
      </c>
      <c r="G9" s="12">
        <v>0</v>
      </c>
      <c r="H9" s="12">
        <v>0</v>
      </c>
      <c r="I9" s="10">
        <f t="shared" si="0"/>
        <v>1</v>
      </c>
      <c r="J9" s="10">
        <f t="shared" si="1"/>
        <v>4</v>
      </c>
      <c r="K9" s="10">
        <f t="shared" si="2"/>
        <v>2</v>
      </c>
      <c r="L9" s="12">
        <v>0</v>
      </c>
      <c r="M9" s="12">
        <v>2</v>
      </c>
      <c r="N9" s="10">
        <f t="shared" si="3"/>
        <v>2</v>
      </c>
      <c r="O9" s="12">
        <v>2</v>
      </c>
      <c r="P9" s="12">
        <v>1</v>
      </c>
      <c r="Q9" s="12">
        <v>1</v>
      </c>
      <c r="R9" s="12">
        <v>1</v>
      </c>
      <c r="T9" s="8" t="str">
        <f t="shared" si="4"/>
        <v>{"match_id": "g1", "pts": 2, "reb": 2, "ast": 2, "stl": 1, "blk": 1, "tov": 1, "fgm": 1, "fga": 4, "fg2m": 1, "fg2a": 4, "fg3m": 0, "fg3a": 0, "oreb": 0}</v>
      </c>
    </row>
    <row r="10" customFormat="1" ht="40.5" spans="2:20">
      <c r="B10" s="1">
        <v>5</v>
      </c>
      <c r="C10" s="4"/>
      <c r="D10" s="5" t="s">
        <v>25</v>
      </c>
      <c r="E10" s="5">
        <v>2</v>
      </c>
      <c r="F10" s="5">
        <v>3</v>
      </c>
      <c r="G10" s="5">
        <v>2</v>
      </c>
      <c r="H10" s="5">
        <v>9</v>
      </c>
      <c r="I10" s="6">
        <f t="shared" si="0"/>
        <v>4</v>
      </c>
      <c r="J10" s="6">
        <f t="shared" si="1"/>
        <v>12</v>
      </c>
      <c r="K10" s="7">
        <f t="shared" si="2"/>
        <v>10</v>
      </c>
      <c r="L10" s="5">
        <v>0</v>
      </c>
      <c r="M10" s="5">
        <v>1</v>
      </c>
      <c r="N10" s="7">
        <f t="shared" si="3"/>
        <v>1</v>
      </c>
      <c r="O10" s="5">
        <v>5</v>
      </c>
      <c r="P10" s="5">
        <v>5</v>
      </c>
      <c r="Q10" s="5">
        <v>2</v>
      </c>
      <c r="R10" s="5">
        <v>0</v>
      </c>
      <c r="T10" s="8" t="str">
        <f t="shared" si="4"/>
        <v>{"match_id": "g1", "pts": 10, "reb": 1, "ast": 5, "stl": 5, "blk": 0, "tov": 2, "fgm": 4, "fga": 12, "fg2m": 2, "fg2a": 3, "fg3m": 2, "fg3a": 9, "oreb": 0}</v>
      </c>
    </row>
    <row r="11" customFormat="1" ht="40.5" spans="2:20">
      <c r="B11" s="1">
        <v>6</v>
      </c>
      <c r="C11" s="11"/>
      <c r="D11" s="11" t="s">
        <v>27</v>
      </c>
      <c r="E11" s="12">
        <v>0</v>
      </c>
      <c r="F11" s="12">
        <v>2</v>
      </c>
      <c r="G11" s="12">
        <v>1</v>
      </c>
      <c r="H11" s="12">
        <v>4</v>
      </c>
      <c r="I11" s="10">
        <f t="shared" si="0"/>
        <v>1</v>
      </c>
      <c r="J11" s="10">
        <f t="shared" si="1"/>
        <v>6</v>
      </c>
      <c r="K11" s="10">
        <f t="shared" si="2"/>
        <v>3</v>
      </c>
      <c r="L11" s="12">
        <v>2</v>
      </c>
      <c r="M11" s="12">
        <v>5</v>
      </c>
      <c r="N11" s="10">
        <f t="shared" si="3"/>
        <v>7</v>
      </c>
      <c r="O11" s="12">
        <v>2</v>
      </c>
      <c r="P11" s="12">
        <v>2</v>
      </c>
      <c r="Q11" s="12">
        <v>2</v>
      </c>
      <c r="R11" s="12">
        <v>0</v>
      </c>
      <c r="T11" s="8" t="str">
        <f t="shared" si="4"/>
        <v>{"match_id": "g1", "pts": 3, "reb": 7, "ast": 2, "stl": 2, "blk": 0, "tov": 2, "fgm": 1, "fga": 6, "fg2m": 0, "fg2a": 2, "fg3m": 1, "fg3a": 4, "oreb": 2}</v>
      </c>
    </row>
    <row r="12" ht="25.1" spans="2:20">
      <c r="B12" s="13" t="s">
        <v>19</v>
      </c>
      <c r="C12" s="13"/>
      <c r="D12" s="13"/>
      <c r="E12" s="14">
        <f t="shared" ref="E12:R12" si="5">SUM(E6:E11)</f>
        <v>12</v>
      </c>
      <c r="F12" s="14">
        <f t="shared" si="5"/>
        <v>28</v>
      </c>
      <c r="G12" s="14">
        <f t="shared" si="5"/>
        <v>8</v>
      </c>
      <c r="H12" s="14">
        <f t="shared" si="5"/>
        <v>25</v>
      </c>
      <c r="I12" s="14">
        <f t="shared" si="5"/>
        <v>20</v>
      </c>
      <c r="J12" s="14">
        <f t="shared" si="5"/>
        <v>53</v>
      </c>
      <c r="K12" s="15">
        <f t="shared" si="5"/>
        <v>48</v>
      </c>
      <c r="L12" s="14">
        <f t="shared" si="5"/>
        <v>8</v>
      </c>
      <c r="M12" s="14">
        <f t="shared" si="5"/>
        <v>29</v>
      </c>
      <c r="N12" s="14">
        <f t="shared" si="5"/>
        <v>37</v>
      </c>
      <c r="O12" s="14">
        <f t="shared" si="5"/>
        <v>17</v>
      </c>
      <c r="P12" s="14">
        <f t="shared" si="5"/>
        <v>10</v>
      </c>
      <c r="Q12" s="14">
        <f t="shared" si="5"/>
        <v>12</v>
      </c>
      <c r="R12" s="14">
        <f t="shared" si="5"/>
        <v>2</v>
      </c>
    </row>
    <row r="13" spans="2:20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40.5" spans="2:20">
      <c r="B14" s="1">
        <v>1</v>
      </c>
      <c r="C14" s="4" t="s">
        <v>45</v>
      </c>
      <c r="D14" s="4" t="s">
        <v>29</v>
      </c>
      <c r="E14" s="5">
        <v>1</v>
      </c>
      <c r="F14" s="5">
        <v>4</v>
      </c>
      <c r="G14" s="5">
        <v>0</v>
      </c>
      <c r="H14" s="5">
        <v>2</v>
      </c>
      <c r="I14" s="4">
        <f t="shared" ref="I14:I23" si="6">E14+G14</f>
        <v>1</v>
      </c>
      <c r="J14" s="4">
        <f t="shared" ref="J14:J23" si="7">F14+H14</f>
        <v>6</v>
      </c>
      <c r="K14" s="16">
        <f t="shared" ref="K14:K23" si="8">2*E14+3*G14</f>
        <v>2</v>
      </c>
      <c r="L14" s="5">
        <v>2</v>
      </c>
      <c r="M14" s="5">
        <v>6</v>
      </c>
      <c r="N14" s="16">
        <f t="shared" ref="N14:N23" si="9">L14+M14</f>
        <v>8</v>
      </c>
      <c r="O14" s="5">
        <v>0</v>
      </c>
      <c r="P14" s="5">
        <v>0</v>
      </c>
      <c r="Q14" s="5">
        <v>2</v>
      </c>
      <c r="R14" s="5">
        <v>0</v>
      </c>
      <c r="T14" s="8" t="str">
        <f t="shared" ref="T14:T23" si="10">"{""match_id"": """&amp;$D$2&amp;""", ""pts"": "&amp;K14&amp;", ""reb"": "&amp;N14&amp;", ""ast"": "&amp;O14&amp;", ""stl"": "&amp;P14&amp;", ""blk"": "&amp;R14&amp;", ""tov"": "&amp;Q14&amp;", ""fgm"": "&amp;I14&amp;", ""fga"": "&amp;J14&amp;", ""fg2m"": "&amp;E14&amp;", ""fg2a"": "&amp;F14&amp;", ""fg3m"": "&amp;G14&amp;", ""fg3a"": "&amp;H14&amp;", ""oreb"": "&amp;L14&amp;"}"</f>
        <v>{"match_id": "g1", "pts": 2, "reb": 8, "ast": 0, "stl": 0, "blk": 0, "tov": 2, "fgm": 1, "fga": 6, "fg2m": 1, "fg2a": 4, "fg3m": 0, "fg3a": 2, "oreb": 2}</v>
      </c>
    </row>
    <row r="15" ht="40.5" spans="2:20">
      <c r="B15" s="1">
        <v>2</v>
      </c>
      <c r="C15" s="2" t="s">
        <v>38</v>
      </c>
      <c r="D15" s="2"/>
      <c r="E15" s="17">
        <v>2</v>
      </c>
      <c r="F15" s="17">
        <v>6</v>
      </c>
      <c r="G15" s="17">
        <v>0</v>
      </c>
      <c r="H15" s="17">
        <v>6</v>
      </c>
      <c r="I15" s="2">
        <f t="shared" si="6"/>
        <v>2</v>
      </c>
      <c r="J15" s="2">
        <f t="shared" si="7"/>
        <v>12</v>
      </c>
      <c r="K15" s="2">
        <f t="shared" si="8"/>
        <v>4</v>
      </c>
      <c r="L15" s="17">
        <v>3</v>
      </c>
      <c r="M15" s="17">
        <v>3</v>
      </c>
      <c r="N15" s="2">
        <f t="shared" si="9"/>
        <v>6</v>
      </c>
      <c r="O15" s="17">
        <v>0</v>
      </c>
      <c r="P15" s="17">
        <v>1</v>
      </c>
      <c r="Q15" s="17">
        <v>0</v>
      </c>
      <c r="R15" s="17">
        <v>0</v>
      </c>
      <c r="T15" s="8" t="str">
        <f t="shared" si="10"/>
        <v>{"match_id": "g1", "pts": 4, "reb": 6, "ast": 0, "stl": 1, "blk": 0, "tov": 0, "fgm": 2, "fga": 12, "fg2m": 2, "fg2a": 6, "fg3m": 0, "fg3a": 6, "oreb": 3}</v>
      </c>
    </row>
    <row r="16" ht="40.5" spans="2:20">
      <c r="B16" s="1">
        <v>3</v>
      </c>
      <c r="C16" s="4" t="s">
        <v>46</v>
      </c>
      <c r="D16" s="4"/>
      <c r="E16" s="5">
        <v>1</v>
      </c>
      <c r="F16" s="5">
        <v>5</v>
      </c>
      <c r="G16" s="5">
        <v>0</v>
      </c>
      <c r="H16" s="5">
        <v>1</v>
      </c>
      <c r="I16" s="4">
        <f t="shared" si="6"/>
        <v>1</v>
      </c>
      <c r="J16" s="4">
        <f t="shared" si="7"/>
        <v>6</v>
      </c>
      <c r="K16" s="16">
        <f t="shared" si="8"/>
        <v>2</v>
      </c>
      <c r="L16" s="5">
        <v>3</v>
      </c>
      <c r="M16" s="5">
        <v>6</v>
      </c>
      <c r="N16" s="16">
        <f t="shared" si="9"/>
        <v>9</v>
      </c>
      <c r="O16" s="5">
        <v>3</v>
      </c>
      <c r="P16" s="5">
        <v>3</v>
      </c>
      <c r="Q16" s="5">
        <v>3</v>
      </c>
      <c r="R16" s="5">
        <v>0</v>
      </c>
      <c r="T16" s="8" t="str">
        <f t="shared" si="10"/>
        <v>{"match_id": "g1", "pts": 2, "reb": 9, "ast": 3, "stl": 3, "blk": 0, "tov": 3, "fgm": 1, "fga": 6, "fg2m": 1, "fg2a": 5, "fg3m": 0, "fg3a": 1, "oreb": 3}</v>
      </c>
    </row>
    <row r="17" ht="40.5" spans="2:20">
      <c r="B17" s="1">
        <v>4</v>
      </c>
      <c r="C17" s="2" t="s">
        <v>40</v>
      </c>
      <c r="D17" s="2"/>
      <c r="E17" s="17">
        <v>2</v>
      </c>
      <c r="F17" s="17">
        <v>12</v>
      </c>
      <c r="G17" s="17">
        <v>0</v>
      </c>
      <c r="H17" s="17">
        <v>3</v>
      </c>
      <c r="I17" s="2">
        <f t="shared" si="6"/>
        <v>2</v>
      </c>
      <c r="J17" s="2">
        <f t="shared" si="7"/>
        <v>15</v>
      </c>
      <c r="K17" s="2">
        <f t="shared" si="8"/>
        <v>4</v>
      </c>
      <c r="L17" s="17">
        <v>0</v>
      </c>
      <c r="M17" s="17">
        <v>6</v>
      </c>
      <c r="N17" s="2">
        <f t="shared" si="9"/>
        <v>6</v>
      </c>
      <c r="O17" s="17">
        <v>2</v>
      </c>
      <c r="P17" s="17">
        <v>2</v>
      </c>
      <c r="Q17" s="17">
        <v>1</v>
      </c>
      <c r="R17" s="17">
        <v>0</v>
      </c>
      <c r="T17" s="8" t="str">
        <f t="shared" si="10"/>
        <v>{"match_id": "g1", "pts": 4, "reb": 6, "ast": 2, "stl": 2, "blk": 0, "tov": 1, "fgm": 2, "fga": 15, "fg2m": 2, "fg2a": 12, "fg3m": 0, "fg3a": 3, "oreb": 0}</v>
      </c>
    </row>
    <row r="18" customFormat="1" ht="40.5" spans="2:20">
      <c r="B18" s="1">
        <v>5</v>
      </c>
      <c r="C18" s="4" t="s">
        <v>47</v>
      </c>
      <c r="D18" s="4" t="s">
        <v>31</v>
      </c>
      <c r="E18" s="5">
        <v>0</v>
      </c>
      <c r="F18" s="5">
        <v>3</v>
      </c>
      <c r="G18" s="5">
        <v>2</v>
      </c>
      <c r="H18" s="5">
        <v>7</v>
      </c>
      <c r="I18" s="4">
        <f t="shared" si="6"/>
        <v>2</v>
      </c>
      <c r="J18" s="4">
        <f t="shared" si="7"/>
        <v>10</v>
      </c>
      <c r="K18" s="16">
        <f t="shared" si="8"/>
        <v>6</v>
      </c>
      <c r="L18" s="5">
        <v>3</v>
      </c>
      <c r="M18" s="5">
        <v>1</v>
      </c>
      <c r="N18" s="16">
        <f t="shared" si="9"/>
        <v>4</v>
      </c>
      <c r="O18" s="5">
        <v>0</v>
      </c>
      <c r="P18" s="5">
        <v>1</v>
      </c>
      <c r="Q18" s="5">
        <v>1</v>
      </c>
      <c r="R18" s="5">
        <v>0</v>
      </c>
      <c r="T18" s="8" t="str">
        <f t="shared" si="10"/>
        <v>{"match_id": "g1", "pts": 6, "reb": 4, "ast": 0, "stl": 1, "blk": 0, "tov": 1, "fgm": 2, "fga": 10, "fg2m": 0, "fg2a": 3, "fg3m": 2, "fg3a": 7, "oreb": 3}</v>
      </c>
    </row>
    <row r="19" customFormat="1" ht="40.5" spans="2:20">
      <c r="B19" s="1">
        <v>6</v>
      </c>
      <c r="C19" s="2" t="s">
        <v>28</v>
      </c>
      <c r="D19" s="2"/>
      <c r="E19" s="17">
        <v>2</v>
      </c>
      <c r="F19" s="17">
        <v>6</v>
      </c>
      <c r="G19" s="17">
        <v>1</v>
      </c>
      <c r="H19" s="17">
        <v>3</v>
      </c>
      <c r="I19" s="2">
        <f t="shared" si="6"/>
        <v>3</v>
      </c>
      <c r="J19" s="2">
        <f t="shared" si="7"/>
        <v>9</v>
      </c>
      <c r="K19" s="2">
        <f t="shared" si="8"/>
        <v>7</v>
      </c>
      <c r="L19" s="17">
        <v>3</v>
      </c>
      <c r="M19" s="17">
        <v>1</v>
      </c>
      <c r="N19" s="2">
        <f t="shared" si="9"/>
        <v>4</v>
      </c>
      <c r="O19" s="17">
        <v>1</v>
      </c>
      <c r="P19" s="17">
        <v>3</v>
      </c>
      <c r="Q19" s="17">
        <v>4</v>
      </c>
      <c r="R19" s="17">
        <v>0</v>
      </c>
      <c r="T19" s="8" t="str">
        <f t="shared" si="10"/>
        <v>{"match_id": "g1", "pts": 7, "reb": 4, "ast": 1, "stl": 3, "blk": 0, "tov": 4, "fgm": 3, "fga": 9, "fg2m": 2, "fg2a": 6, "fg3m": 1, "fg3a": 3, "oreb": 3}</v>
      </c>
    </row>
    <row r="20" ht="25.1" spans="2:20">
      <c r="B20" s="18" t="s">
        <v>19</v>
      </c>
      <c r="C20" s="18"/>
      <c r="D20" s="18"/>
      <c r="E20" s="6">
        <f t="shared" ref="E20:R20" si="11">SUM(E14:E19)</f>
        <v>8</v>
      </c>
      <c r="F20" s="6">
        <f t="shared" si="11"/>
        <v>36</v>
      </c>
      <c r="G20" s="6">
        <f t="shared" si="11"/>
        <v>3</v>
      </c>
      <c r="H20" s="6">
        <f t="shared" si="11"/>
        <v>22</v>
      </c>
      <c r="I20" s="6">
        <f t="shared" si="11"/>
        <v>11</v>
      </c>
      <c r="J20" s="6">
        <f t="shared" si="11"/>
        <v>58</v>
      </c>
      <c r="K20" s="19">
        <f t="shared" si="11"/>
        <v>25</v>
      </c>
      <c r="L20" s="6">
        <f t="shared" si="11"/>
        <v>14</v>
      </c>
      <c r="M20" s="6">
        <f t="shared" si="11"/>
        <v>23</v>
      </c>
      <c r="N20" s="6">
        <f t="shared" si="11"/>
        <v>37</v>
      </c>
      <c r="O20" s="6">
        <f t="shared" si="11"/>
        <v>6</v>
      </c>
      <c r="P20" s="6">
        <f t="shared" si="11"/>
        <v>10</v>
      </c>
      <c r="Q20" s="6">
        <f t="shared" si="11"/>
        <v>11</v>
      </c>
      <c r="R20" s="6">
        <f t="shared" si="11"/>
        <v>0</v>
      </c>
    </row>
  </sheetData>
  <mergeCells count="4">
    <mergeCell ref="B5:R5"/>
    <mergeCell ref="B12:D12"/>
    <mergeCell ref="B13:R13"/>
    <mergeCell ref="B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Template</vt:lpstr>
      <vt:lpstr>Game-6（20260614）</vt:lpstr>
      <vt:lpstr>Game-5（20260614）</vt:lpstr>
      <vt:lpstr>Game-4（20260531）</vt:lpstr>
      <vt:lpstr>Game-3（20260531）</vt:lpstr>
      <vt:lpstr>Game-2（20260517）</vt:lpstr>
      <vt:lpstr>Game-1（20260517）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馮バスケの鬼</cp:lastModifiedBy>
  <dcterms:created xsi:type="dcterms:W3CDTF">2026-04-12T18:31:00Z</dcterms:created>
  <dcterms:modified xsi:type="dcterms:W3CDTF">2026-06-17T15:18:01Z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3695F528DCAC428894107AEF4C7CC553_11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